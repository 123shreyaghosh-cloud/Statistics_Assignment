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saks\Downloads\"/>
    </mc:Choice>
  </mc:AlternateContent>
  <xr:revisionPtr revIDLastSave="0" documentId="8_{C5A53080-D3E7-4CD6-B552-D58AE8CF8D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  <c r="D6" i="8"/>
  <c r="C8" i="8"/>
  <c r="B8" i="8"/>
  <c r="B14" i="7"/>
  <c r="B13" i="7"/>
  <c r="G6" i="7"/>
  <c r="G8" i="7"/>
  <c r="G7" i="7"/>
  <c r="D8" i="7"/>
  <c r="D9" i="7"/>
  <c r="D10" i="7"/>
  <c r="D11" i="7"/>
  <c r="D7" i="7"/>
  <c r="D6" i="7"/>
  <c r="B11" i="5"/>
  <c r="B10" i="5"/>
  <c r="D8" i="8" l="1"/>
  <c r="E9" i="8" l="1"/>
  <c r="E7" i="8"/>
  <c r="E8" i="8"/>
  <c r="E6" i="8"/>
  <c r="B11" i="8" l="1"/>
  <c r="B12" i="8" s="1"/>
</calcChain>
</file>

<file path=xl/sharedStrings.xml><?xml version="1.0" encoding="utf-8"?>
<sst xmlns="http://schemas.openxmlformats.org/spreadsheetml/2006/main" count="76" uniqueCount="58">
  <si>
    <t>Question</t>
  </si>
  <si>
    <t>What is a null hypothesis (H₀) and why is it important?</t>
  </si>
  <si>
    <t>Answer</t>
  </si>
  <si>
    <t>Null hypothesis is a statement of no effect or no difference. It is important because it provides a basis for statistical testing.</t>
  </si>
  <si>
    <t>What does the significance level (α) represent?</t>
  </si>
  <si>
    <t>It represents the probability of rejecting a true null hypothesis (Type I error).</t>
  </si>
  <si>
    <t>Differentiate between Type I and Type II errors.</t>
  </si>
  <si>
    <t>Working Table</t>
  </si>
  <si>
    <t>Error Type</t>
  </si>
  <si>
    <t>Meaning</t>
  </si>
  <si>
    <t>Type I Error</t>
  </si>
  <si>
    <t>Rejecting a true null hypothesis</t>
  </si>
  <si>
    <t>Type II Error</t>
  </si>
  <si>
    <t>Failing to reject a false null hypothesis</t>
  </si>
  <si>
    <t>Explain one-tailed and two-tailed tests with examples.</t>
  </si>
  <si>
    <t>Test Type</t>
  </si>
  <si>
    <t>Explanation</t>
  </si>
  <si>
    <t>One-tailed</t>
  </si>
  <si>
    <t>Test in one direction</t>
  </si>
  <si>
    <t>Two-tailed</t>
  </si>
  <si>
    <t>Test in both directions</t>
  </si>
  <si>
    <t>Test the claim that average complaint time is 10 minutes (α=0.05).</t>
  </si>
  <si>
    <t>Parameter</t>
  </si>
  <si>
    <t>Value</t>
  </si>
  <si>
    <t>Sample Mean (x̄)</t>
  </si>
  <si>
    <t>Population Mean (μ)</t>
  </si>
  <si>
    <t>Standard Deviation (s)</t>
  </si>
  <si>
    <t>Sample Size (n)</t>
  </si>
  <si>
    <t>t-statistic</t>
  </si>
  <si>
    <t>p-value</t>
  </si>
  <si>
    <t>Conclusion</t>
  </si>
  <si>
    <t>Since p &lt; 0.05, Reject H₀. Claim is not valid.</t>
  </si>
  <si>
    <t>When should you use a Z-test instead of a t-test?</t>
  </si>
  <si>
    <t>Test</t>
  </si>
  <si>
    <t>Condition</t>
  </si>
  <si>
    <t>Z-test</t>
  </si>
  <si>
    <t>Population SD known &amp; n ≥ 30</t>
  </si>
  <si>
    <t>t-test</t>
  </si>
  <si>
    <t>Population SD unknown or small sample</t>
  </si>
  <si>
    <t>Test whether training improved productivity (α=0.05).</t>
  </si>
  <si>
    <t>Employee</t>
  </si>
  <si>
    <t>Before</t>
  </si>
  <si>
    <t>After</t>
  </si>
  <si>
    <t>Difference</t>
  </si>
  <si>
    <t>Training improved productivity</t>
  </si>
  <si>
    <t>Test independence between gender and product preference (α=0.05).</t>
  </si>
  <si>
    <t>Observed Frequencies</t>
  </si>
  <si>
    <t>Product A</t>
  </si>
  <si>
    <t>Product B</t>
  </si>
  <si>
    <t>Male</t>
  </si>
  <si>
    <t>Female</t>
  </si>
  <si>
    <t>Chi-square</t>
  </si>
  <si>
    <t>Preference depends on gender</t>
  </si>
  <si>
    <t>std. deviation of differences</t>
  </si>
  <si>
    <t>number of pairs</t>
  </si>
  <si>
    <t>mean difference</t>
  </si>
  <si>
    <t>Total</t>
  </si>
  <si>
    <t>Assignment: Hypothesis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</si>
</sst>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L12" sqref="L12"/>
    </sheetView>
  </sheetViews>
  <sheetFormatPr defaultRowHeight="14.5" x14ac:dyDescent="0.35"/>
  <sheetData>
    <row r="1" spans="1:12" x14ac:dyDescent="0.35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spans="1:12" x14ac:dyDescent="0.35">
      <c r="A3" t="s">
        <v>0</v>
      </c>
    </row>
    <row r="4" spans="1:12" x14ac:dyDescent="0.35">
      <c r="A4" t="s">
        <v>1</v>
      </c>
    </row>
    <row r="6" spans="1:12" x14ac:dyDescent="0.35">
      <c r="A6" t="s">
        <v>2</v>
      </c>
    </row>
    <row r="7" spans="1:12" x14ac:dyDescent="0.35">
      <c r="A7" t="s">
        <v>3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4</v>
      </c>
    </row>
    <row r="4" spans="1:1" x14ac:dyDescent="0.35">
      <c r="A4" t="s">
        <v>2</v>
      </c>
    </row>
    <row r="5" spans="1:1" x14ac:dyDescent="0.35">
      <c r="A5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6</v>
      </c>
    </row>
    <row r="4" spans="1:2" x14ac:dyDescent="0.35">
      <c r="A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14</v>
      </c>
    </row>
    <row r="4" spans="1:2" x14ac:dyDescent="0.35">
      <c r="A4" t="s">
        <v>7</v>
      </c>
    </row>
    <row r="5" spans="1:2" x14ac:dyDescent="0.35">
      <c r="A5" t="s">
        <v>15</v>
      </c>
      <c r="B5" t="s">
        <v>16</v>
      </c>
    </row>
    <row r="6" spans="1:2" x14ac:dyDescent="0.35">
      <c r="A6" t="s">
        <v>17</v>
      </c>
      <c r="B6" t="s">
        <v>18</v>
      </c>
    </row>
    <row r="7" spans="1:2" x14ac:dyDescent="0.35">
      <c r="A7" t="s">
        <v>19</v>
      </c>
      <c r="B7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selection activeCell="E7" sqref="E7"/>
    </sheetView>
  </sheetViews>
  <sheetFormatPr defaultRowHeight="14.5" x14ac:dyDescent="0.35"/>
  <cols>
    <col min="1" max="1" width="21.453125" customWidth="1"/>
    <col min="2" max="2" width="11.81640625" bestFit="1" customWidth="1"/>
  </cols>
  <sheetData>
    <row r="1" spans="1:2" x14ac:dyDescent="0.35">
      <c r="A1" t="s">
        <v>0</v>
      </c>
    </row>
    <row r="2" spans="1:2" x14ac:dyDescent="0.35">
      <c r="A2" t="s">
        <v>21</v>
      </c>
    </row>
    <row r="4" spans="1:2" x14ac:dyDescent="0.35">
      <c r="A4" t="s">
        <v>7</v>
      </c>
    </row>
    <row r="5" spans="1:2" x14ac:dyDescent="0.35">
      <c r="A5" s="1" t="s">
        <v>22</v>
      </c>
      <c r="B5" s="1" t="s">
        <v>23</v>
      </c>
    </row>
    <row r="6" spans="1:2" x14ac:dyDescent="0.35">
      <c r="A6" s="1" t="s">
        <v>24</v>
      </c>
      <c r="B6" s="1">
        <v>12</v>
      </c>
    </row>
    <row r="7" spans="1:2" x14ac:dyDescent="0.35">
      <c r="A7" s="1" t="s">
        <v>25</v>
      </c>
      <c r="B7" s="1">
        <v>10</v>
      </c>
    </row>
    <row r="8" spans="1:2" x14ac:dyDescent="0.35">
      <c r="A8" s="1" t="s">
        <v>26</v>
      </c>
      <c r="B8" s="1">
        <v>3</v>
      </c>
    </row>
    <row r="9" spans="1:2" x14ac:dyDescent="0.35">
      <c r="A9" s="1" t="s">
        <v>27</v>
      </c>
      <c r="B9" s="1">
        <v>9</v>
      </c>
    </row>
    <row r="10" spans="1:2" x14ac:dyDescent="0.35">
      <c r="A10" s="1" t="s">
        <v>28</v>
      </c>
      <c r="B10" s="1">
        <f>(B6-B7)/(B8/SQRT(B9))</f>
        <v>2</v>
      </c>
    </row>
    <row r="11" spans="1:2" x14ac:dyDescent="0.35">
      <c r="A11" s="1" t="s">
        <v>29</v>
      </c>
      <c r="B11" s="1">
        <f>_xlfn.T.DIST.RT(B10,8)</f>
        <v>4.025811897863131E-2</v>
      </c>
    </row>
    <row r="13" spans="1:2" x14ac:dyDescent="0.35">
      <c r="A13" t="s">
        <v>30</v>
      </c>
    </row>
    <row r="14" spans="1:2" x14ac:dyDescent="0.35">
      <c r="A14" t="s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32</v>
      </c>
    </row>
    <row r="4" spans="1:2" x14ac:dyDescent="0.35">
      <c r="A4" t="s">
        <v>7</v>
      </c>
    </row>
    <row r="5" spans="1:2" x14ac:dyDescent="0.35">
      <c r="A5" t="s">
        <v>33</v>
      </c>
      <c r="B5" t="s">
        <v>34</v>
      </c>
    </row>
    <row r="6" spans="1:2" x14ac:dyDescent="0.35">
      <c r="A6" t="s">
        <v>35</v>
      </c>
      <c r="B6" t="s">
        <v>36</v>
      </c>
    </row>
    <row r="7" spans="1:2" x14ac:dyDescent="0.35">
      <c r="A7" t="s">
        <v>37</v>
      </c>
      <c r="B7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zoomScale="65" workbookViewId="0">
      <selection activeCell="K18" sqref="K18"/>
    </sheetView>
  </sheetViews>
  <sheetFormatPr defaultRowHeight="14.5" x14ac:dyDescent="0.35"/>
  <cols>
    <col min="1" max="1" width="10.08984375" customWidth="1"/>
    <col min="6" max="6" width="25.26953125" customWidth="1"/>
  </cols>
  <sheetData>
    <row r="1" spans="1:7" x14ac:dyDescent="0.35">
      <c r="A1" t="s">
        <v>0</v>
      </c>
    </row>
    <row r="2" spans="1:7" x14ac:dyDescent="0.35">
      <c r="A2" t="s">
        <v>39</v>
      </c>
    </row>
    <row r="4" spans="1:7" x14ac:dyDescent="0.35">
      <c r="A4" t="s">
        <v>7</v>
      </c>
    </row>
    <row r="5" spans="1:7" x14ac:dyDescent="0.35">
      <c r="A5" s="1" t="s">
        <v>40</v>
      </c>
      <c r="B5" s="1" t="s">
        <v>41</v>
      </c>
      <c r="C5" s="1" t="s">
        <v>42</v>
      </c>
      <c r="D5" s="1" t="s">
        <v>43</v>
      </c>
    </row>
    <row r="6" spans="1:7" x14ac:dyDescent="0.35">
      <c r="A6" s="1">
        <v>1</v>
      </c>
      <c r="B6" s="1">
        <v>50</v>
      </c>
      <c r="C6" s="1">
        <v>55</v>
      </c>
      <c r="D6" s="1">
        <f>C6-B6</f>
        <v>5</v>
      </c>
      <c r="F6" t="s">
        <v>55</v>
      </c>
      <c r="G6">
        <f>AVERAGE(D6:D11)</f>
        <v>3</v>
      </c>
    </row>
    <row r="7" spans="1:7" x14ac:dyDescent="0.35">
      <c r="A7" s="1">
        <v>2</v>
      </c>
      <c r="B7" s="1">
        <v>60</v>
      </c>
      <c r="C7" s="1">
        <v>65</v>
      </c>
      <c r="D7" s="1">
        <f>C7-B7</f>
        <v>5</v>
      </c>
      <c r="F7" t="s">
        <v>54</v>
      </c>
      <c r="G7">
        <f>COUNT(D6:D11)</f>
        <v>6</v>
      </c>
    </row>
    <row r="8" spans="1:7" x14ac:dyDescent="0.35">
      <c r="A8" s="1">
        <v>3</v>
      </c>
      <c r="B8" s="1">
        <v>58</v>
      </c>
      <c r="C8" s="1">
        <v>59</v>
      </c>
      <c r="D8" s="1">
        <f t="shared" ref="D8:D11" si="0">C8-B8</f>
        <v>1</v>
      </c>
      <c r="F8" t="s">
        <v>53</v>
      </c>
      <c r="G8">
        <f>_xlfn.STDEV.S(D6:D11)</f>
        <v>1.7888543819998317</v>
      </c>
    </row>
    <row r="9" spans="1:7" x14ac:dyDescent="0.35">
      <c r="A9" s="1">
        <v>4</v>
      </c>
      <c r="B9" s="1">
        <v>55</v>
      </c>
      <c r="C9" s="1">
        <v>58</v>
      </c>
      <c r="D9" s="1">
        <f t="shared" si="0"/>
        <v>3</v>
      </c>
    </row>
    <row r="10" spans="1:7" x14ac:dyDescent="0.35">
      <c r="A10" s="1">
        <v>5</v>
      </c>
      <c r="B10" s="1">
        <v>62</v>
      </c>
      <c r="C10" s="1">
        <v>63</v>
      </c>
      <c r="D10" s="1">
        <f t="shared" si="0"/>
        <v>1</v>
      </c>
    </row>
    <row r="11" spans="1:7" x14ac:dyDescent="0.35">
      <c r="A11" s="1">
        <v>6</v>
      </c>
      <c r="B11" s="1">
        <v>56</v>
      </c>
      <c r="C11" s="1">
        <v>59</v>
      </c>
      <c r="D11" s="1">
        <f t="shared" si="0"/>
        <v>3</v>
      </c>
    </row>
    <row r="13" spans="1:7" x14ac:dyDescent="0.35">
      <c r="A13" t="s">
        <v>28</v>
      </c>
      <c r="B13">
        <f>G6/(G8/SQRT(G7))</f>
        <v>4.1079191812887457</v>
      </c>
    </row>
    <row r="14" spans="1:7" x14ac:dyDescent="0.35">
      <c r="A14" t="s">
        <v>29</v>
      </c>
      <c r="B14">
        <f>_xlfn.T.DIST.RT(B13,5)</f>
        <v>4.6413525173689693E-3</v>
      </c>
    </row>
    <row r="15" spans="1:7" x14ac:dyDescent="0.35">
      <c r="A15" t="s">
        <v>30</v>
      </c>
      <c r="B15" t="s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F11" sqref="F11"/>
    </sheetView>
  </sheetViews>
  <sheetFormatPr defaultRowHeight="14.5" x14ac:dyDescent="0.35"/>
  <cols>
    <col min="1" max="1" width="12.453125" customWidth="1"/>
  </cols>
  <sheetData>
    <row r="1" spans="1:5" x14ac:dyDescent="0.35">
      <c r="A1" t="s">
        <v>0</v>
      </c>
    </row>
    <row r="2" spans="1:5" x14ac:dyDescent="0.35">
      <c r="A2" t="s">
        <v>45</v>
      </c>
    </row>
    <row r="4" spans="1:5" x14ac:dyDescent="0.35">
      <c r="A4" t="s">
        <v>46</v>
      </c>
    </row>
    <row r="5" spans="1:5" x14ac:dyDescent="0.35">
      <c r="A5" s="1"/>
      <c r="B5" s="1" t="s">
        <v>47</v>
      </c>
      <c r="C5" s="1" t="s">
        <v>48</v>
      </c>
      <c r="D5" s="1" t="s">
        <v>56</v>
      </c>
      <c r="E5" s="1"/>
    </row>
    <row r="6" spans="1:5" x14ac:dyDescent="0.35">
      <c r="A6" s="1" t="s">
        <v>49</v>
      </c>
      <c r="B6" s="1">
        <v>40</v>
      </c>
      <c r="C6" s="1">
        <v>60</v>
      </c>
      <c r="D6" s="1">
        <f>B6+C6</f>
        <v>100</v>
      </c>
      <c r="E6" s="1">
        <f>(D6*B8)/D8</f>
        <v>46.666666666666664</v>
      </c>
    </row>
    <row r="7" spans="1:5" x14ac:dyDescent="0.35">
      <c r="A7" s="1" t="s">
        <v>50</v>
      </c>
      <c r="B7" s="1">
        <v>30</v>
      </c>
      <c r="C7" s="1">
        <v>20</v>
      </c>
      <c r="D7" s="1">
        <f t="shared" ref="D7:D8" si="0">B7+C7</f>
        <v>50</v>
      </c>
      <c r="E7" s="1">
        <f>(D6*C8)/D8</f>
        <v>53.333333333333336</v>
      </c>
    </row>
    <row r="8" spans="1:5" x14ac:dyDescent="0.35">
      <c r="A8" s="1" t="s">
        <v>56</v>
      </c>
      <c r="B8" s="1">
        <f>SUM(B6,B7)</f>
        <v>70</v>
      </c>
      <c r="C8" s="1">
        <f>SUM(C6,C7)</f>
        <v>80</v>
      </c>
      <c r="D8" s="1">
        <f t="shared" si="0"/>
        <v>150</v>
      </c>
      <c r="E8" s="1">
        <f>(D7*B8)/D8</f>
        <v>23.333333333333332</v>
      </c>
    </row>
    <row r="9" spans="1:5" x14ac:dyDescent="0.35">
      <c r="A9" s="1"/>
      <c r="B9" s="1"/>
      <c r="C9" s="1"/>
      <c r="D9" s="1"/>
      <c r="E9" s="1">
        <f>(D7*C8)/D8</f>
        <v>26.666666666666668</v>
      </c>
    </row>
    <row r="10" spans="1:5" x14ac:dyDescent="0.35">
      <c r="A10" s="1"/>
      <c r="B10" s="1"/>
      <c r="C10" s="1"/>
      <c r="D10" s="1"/>
      <c r="E10" s="1"/>
    </row>
    <row r="11" spans="1:5" x14ac:dyDescent="0.35">
      <c r="A11" t="s">
        <v>51</v>
      </c>
      <c r="B11">
        <f>((B6-E6)^2/E6)+((C6-E7)^2/E7)+((B7-E8)^2/E8)+((C7-E9)^2/E9)</f>
        <v>5.3571428571428568</v>
      </c>
    </row>
    <row r="12" spans="1:5" x14ac:dyDescent="0.35">
      <c r="A12" t="s">
        <v>29</v>
      </c>
      <c r="B12">
        <f>_xlfn.CHISQ.DIST.RT(B11,1)</f>
        <v>2.0637558243972197E-2</v>
      </c>
    </row>
    <row r="13" spans="1:5" x14ac:dyDescent="0.35">
      <c r="A13" t="s">
        <v>30</v>
      </c>
      <c r="B13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Rajput</cp:lastModifiedBy>
  <dcterms:created xsi:type="dcterms:W3CDTF">2026-01-27T10:37:00Z</dcterms:created>
  <dcterms:modified xsi:type="dcterms:W3CDTF">2026-01-27T11:41:55Z</dcterms:modified>
</cp:coreProperties>
</file>