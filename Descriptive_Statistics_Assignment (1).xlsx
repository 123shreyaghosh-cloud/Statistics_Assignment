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REYA\AppData\Local\Packages\5319275A.WhatsAppDesktop_cv1g1gvanyjgm\LocalState\sessions\A709E8EDEB4281E136DB0DACA17E1B399AEBA4F0\transfers\2026-03\"/>
    </mc:Choice>
  </mc:AlternateContent>
  <xr:revisionPtr revIDLastSave="0" documentId="13_ncr:1_{6F444AC7-9C10-4409-9211-58EEC9FB0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4" i="10"/>
  <c r="C4" i="1"/>
  <c r="C2" i="1"/>
  <c r="C2" i="2"/>
  <c r="C2" i="3"/>
  <c r="C6" i="10"/>
  <c r="C3" i="9"/>
  <c r="C3" i="1"/>
  <c r="C5" i="10"/>
  <c r="C3" i="10"/>
  <c r="C2" i="10"/>
  <c r="C2" i="9"/>
  <c r="C2" i="6"/>
  <c r="C2" i="5"/>
  <c r="C3" i="4"/>
</calcChain>
</file>

<file path=xl/sharedStrings.xml><?xml version="1.0" encoding="utf-8"?>
<sst xmlns="http://schemas.openxmlformats.org/spreadsheetml/2006/main" count="115" uniqueCount="88">
  <si>
    <t>Data</t>
  </si>
  <si>
    <t>Mean</t>
  </si>
  <si>
    <t>Median</t>
  </si>
  <si>
    <t>Mode</t>
  </si>
  <si>
    <t>Range</t>
  </si>
  <si>
    <t>Company</t>
  </si>
  <si>
    <t>Variance</t>
  </si>
  <si>
    <t>Consistency</t>
  </si>
  <si>
    <t>Company A</t>
  </si>
  <si>
    <t>More consistent</t>
  </si>
  <si>
    <t>Company B</t>
  </si>
  <si>
    <t>Coin</t>
  </si>
  <si>
    <t>Standard Deviation</t>
  </si>
  <si>
    <t>Risk</t>
  </si>
  <si>
    <t>Coin A</t>
  </si>
  <si>
    <t>Coin B</t>
  </si>
  <si>
    <t>Riskier</t>
  </si>
  <si>
    <t>Q1: Understanding Central Tendency (Easy)</t>
  </si>
  <si>
    <t>A bakery tracks the daily sales of muffins (in dozens) over a week: [10, 12, 11, 15, 14, 13, 12].</t>
  </si>
  <si>
    <t>What is the most representative value of their weekly sales, and why?</t>
  </si>
  <si>
    <t>Q2: Mean in Real Life (Easy)</t>
  </si>
  <si>
    <t>A teacher records the marks of her students in a short quiz: [12, 15, 14, 16, 18, 20, 19].</t>
  </si>
  <si>
    <t>What is the mean score, and what does it tell us about the class’s performance? </t>
  </si>
  <si>
    <t>Q3: Mode in Real Life (Easy)</t>
  </si>
  <si>
    <t>A store records the shoe sizes sold in one day: [7, 8, 9, 8, 8, 10, 7, 9].</t>
  </si>
  <si>
    <t>What is the mode, and why is this information useful for the store manager? </t>
  </si>
  <si>
    <t>Q4: Median in Real Life (Medium)</t>
  </si>
  <si>
    <t>A car dealer notes the prices of used cars: [$8,000, $9,500, $10,200, $11,000, $50,000].</t>
  </si>
  <si>
    <t>Why is the median a better measure than the mean in this case? Calculate the median.</t>
  </si>
  <si>
    <t>Q5: Dispersion Introduction (Medium)</t>
  </si>
  <si>
    <t>A student times how long it takes to finish a puzzle each day: [25, 30, 27, 35, 40].</t>
  </si>
  <si>
    <t>What does the range tell us about the variation in the student’s puzzle-solving time?</t>
  </si>
  <si>
    <t>Q6: Range in Action (Medium)</t>
  </si>
  <si>
    <t>A farmer records the weekly weight of harvested apples (kg): [100, 105, 98, 110, 120].</t>
  </si>
  <si>
    <t>Find the range. How can this help the farmer in planning his packaging?</t>
  </si>
  <si>
    <t>Q7: Variance for Decision-Making (Medium)</t>
  </si>
  <si>
    <t>Two delivery companies track delivery delays (in minutes).</t>
  </si>
  <si>
    <t>Company A: variance = 6</t>
  </si>
  <si>
    <t>Company B: variance = 15</t>
  </si>
  <si>
    <t>Which company is more consistent, and why?</t>
  </si>
  <si>
    <t>Q8: Standard Deviation in Context (Hard)</t>
  </si>
  <si>
    <t>A finance student compares the daily price fluctuations of two cryptocurrencies.</t>
  </si>
  <si>
    <t>Coin A: standard deviation = $30</t>
  </si>
  <si>
    <t>Coin B: standard deviation = $120</t>
  </si>
  <si>
    <t>Which coin is riskier to invest in, and why?</t>
  </si>
  <si>
    <t>A family records their monthly electricity usage (in kWh): [400, 420, 390, 450, 410]. Find the mean and standard deviation.</t>
  </si>
  <si>
    <t>What do these values together tell you about the family’s energy use pattern?</t>
  </si>
  <si>
    <t>Q9: Combining Measures (Hard)</t>
  </si>
  <si>
    <t>Q10: Practical Application (Hard)</t>
  </si>
  <si>
    <t>A basketball player’s points in 8 games are recorded: [15, 18, 20, 22, 25, 17, 19, 21].</t>
  </si>
  <si>
    <t>Find the mean, median, mode, range, and standard deviation.</t>
  </si>
  <si>
    <t>What insights can these measures provide about the player’s scoring performance?</t>
  </si>
  <si>
    <t>ANSWER</t>
  </si>
  <si>
    <t>Most representative value:</t>
  </si>
  <si>
    <t>ANSWER:</t>
  </si>
  <si>
    <t>Mean = (10+12+11+15+14+13+12)/7 = 12.43</t>
  </si>
  <si>
    <t>Median = 12 (middle value when arranged: 10, 11, 12, 12, 13, 14, 15)</t>
  </si>
  <si>
    <t>Mode = 12 (occurs twice)</t>
  </si>
  <si>
    <t>12 is the most representative (mode &amp; close to mean/median).</t>
  </si>
  <si>
    <t>Average performance of the class is around 16.29.</t>
  </si>
  <si>
    <r>
      <t xml:space="preserve">MODE:- </t>
    </r>
    <r>
      <rPr>
        <b/>
        <sz val="14"/>
        <color rgb="FF0070C0"/>
        <rFont val="Calibri"/>
        <family val="2"/>
        <scheme val="minor"/>
      </rPr>
      <t>Mode is the most frequent value in a dataset.</t>
    </r>
  </si>
  <si>
    <r>
      <rPr>
        <b/>
        <sz val="14"/>
        <color rgb="FF00B0F0"/>
        <rFont val="Calibri"/>
        <family val="2"/>
        <scheme val="minor"/>
      </rPr>
      <t>Mode</t>
    </r>
    <r>
      <rPr>
        <b/>
        <sz val="14"/>
        <color theme="8" tint="-0.499984740745262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= </t>
    </r>
    <r>
      <rPr>
        <sz val="14"/>
        <color rgb="FF00B0F0"/>
        <rFont val="Calibri"/>
        <family val="2"/>
        <scheme val="minor"/>
      </rPr>
      <t>8 (occurs 3 times)</t>
    </r>
  </si>
  <si>
    <r>
      <rPr>
        <b/>
        <sz val="14"/>
        <color rgb="FF00B0F0"/>
        <rFont val="Calibri"/>
        <family val="2"/>
        <scheme val="minor"/>
      </rPr>
      <t>Useful for store manager</t>
    </r>
    <r>
      <rPr>
        <sz val="14"/>
        <color theme="1"/>
        <rFont val="Calibri"/>
        <family val="2"/>
        <scheme val="minor"/>
      </rPr>
      <t xml:space="preserve">: </t>
    </r>
    <r>
      <rPr>
        <sz val="14"/>
        <color rgb="FF00B0F0"/>
        <rFont val="Calibri"/>
        <family val="2"/>
        <scheme val="minor"/>
      </rPr>
      <t>Stock more size 8 shoes as it's most popular.</t>
    </r>
  </si>
  <si>
    <r>
      <rPr>
        <b/>
        <sz val="14"/>
        <color rgb="FF0070C0"/>
        <rFont val="Calibri"/>
        <family val="2"/>
        <scheme val="minor"/>
      </rPr>
      <t>Median</t>
    </r>
    <r>
      <rPr>
        <sz val="14"/>
        <color rgb="FF00B0F0"/>
        <rFont val="Calibri"/>
        <family val="2"/>
        <scheme val="minor"/>
      </rPr>
      <t xml:space="preserve"> = $10,200 (middle value)</t>
    </r>
  </si>
  <si>
    <r>
      <rPr>
        <b/>
        <sz val="14"/>
        <color rgb="FF0070C0"/>
        <rFont val="Calibri"/>
        <family val="2"/>
        <scheme val="minor"/>
      </rPr>
      <t>Why median is better</t>
    </r>
    <r>
      <rPr>
        <sz val="14"/>
        <color rgb="FF00B0F0"/>
        <rFont val="Calibri"/>
        <family val="2"/>
        <scheme val="minor"/>
      </rPr>
      <t>: Mean is skewed by outlier ($50k).</t>
    </r>
  </si>
  <si>
    <r>
      <rPr>
        <b/>
        <sz val="14"/>
        <color rgb="FF0070C0"/>
        <rFont val="Calibri"/>
        <family val="2"/>
        <scheme val="minor"/>
      </rPr>
      <t>Range</t>
    </r>
    <r>
      <rPr>
        <sz val="14"/>
        <color rgb="FF00B0F0"/>
        <rFont val="Calibri"/>
        <family val="2"/>
        <scheme val="minor"/>
      </rPr>
      <t xml:space="preserve"> = 40 - 25 = 15</t>
    </r>
  </si>
  <si>
    <r>
      <rPr>
        <b/>
        <sz val="14"/>
        <color rgb="FF0070C0"/>
        <rFont val="Calibri"/>
        <family val="2"/>
        <scheme val="minor"/>
      </rPr>
      <t>Tells us:</t>
    </r>
    <r>
      <rPr>
        <sz val="14"/>
        <color rgb="FF00B0F0"/>
        <rFont val="Calibri"/>
        <family val="2"/>
        <scheme val="minor"/>
      </rPr>
      <t xml:space="preserve"> Time varies by 15 units (quite spread out).</t>
    </r>
  </si>
  <si>
    <r>
      <rPr>
        <b/>
        <sz val="14"/>
        <color rgb="FF0070C0"/>
        <rFont val="Calibri"/>
        <family val="2"/>
        <scheme val="minor"/>
      </rPr>
      <t>Range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= </t>
    </r>
    <r>
      <rPr>
        <sz val="14"/>
        <color rgb="FF00B0F0"/>
        <rFont val="Calibri"/>
        <family val="2"/>
        <scheme val="minor"/>
      </rPr>
      <t>120 - 98 = 22 kg</t>
    </r>
  </si>
  <si>
    <r>
      <rPr>
        <b/>
        <sz val="14"/>
        <color rgb="FF0070C0"/>
        <rFont val="Calibri"/>
        <family val="2"/>
        <scheme val="minor"/>
      </rPr>
      <t>Helps farmer: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rgb="FF00B0F0"/>
        <rFont val="Calibri"/>
        <family val="2"/>
        <scheme val="minor"/>
      </rPr>
      <t>Plan packaging considering weight variation (22 kg spread).</t>
    </r>
  </si>
  <si>
    <t xml:space="preserve"> Company A is more consistent because lower variance (6 &lt; 15) means more predictable delays.</t>
  </si>
  <si>
    <r>
      <rPr>
        <b/>
        <sz val="14"/>
        <color rgb="FF0070C0"/>
        <rFont val="Calibri"/>
        <family val="2"/>
        <scheme val="minor"/>
      </rPr>
      <t>Company A:</t>
    </r>
    <r>
      <rPr>
        <sz val="14"/>
        <color rgb="FF0070C0"/>
        <rFont val="Calibri"/>
        <family val="2"/>
        <scheme val="minor"/>
      </rPr>
      <t xml:space="preserve"> variance = 6</t>
    </r>
  </si>
  <si>
    <r>
      <t xml:space="preserve"> </t>
    </r>
    <r>
      <rPr>
        <b/>
        <sz val="14"/>
        <color rgb="FF0070C0"/>
        <rFont val="Calibri"/>
        <family val="2"/>
        <scheme val="minor"/>
      </rPr>
      <t xml:space="preserve">Company B: </t>
    </r>
    <r>
      <rPr>
        <sz val="14"/>
        <color rgb="FF0070C0"/>
        <rFont val="Calibri"/>
        <family val="2"/>
        <scheme val="minor"/>
      </rPr>
      <t>variance = 15</t>
    </r>
  </si>
  <si>
    <t>Coin B is riskier because higher SD ($120 &gt; $30) means more price volatility.</t>
  </si>
  <si>
    <r>
      <rPr>
        <b/>
        <sz val="14"/>
        <color rgb="FF0070C0"/>
        <rFont val="Calibri"/>
        <family val="2"/>
        <scheme val="minor"/>
      </rPr>
      <t xml:space="preserve">Coin A: </t>
    </r>
    <r>
      <rPr>
        <sz val="14"/>
        <color rgb="FF0070C0"/>
        <rFont val="Calibri"/>
        <family val="2"/>
        <scheme val="minor"/>
      </rPr>
      <t>SD = $30</t>
    </r>
  </si>
  <si>
    <r>
      <rPr>
        <b/>
        <sz val="14"/>
        <color rgb="FF0070C0"/>
        <rFont val="Calibri"/>
        <family val="2"/>
        <scheme val="minor"/>
      </rPr>
      <t>Coin B:</t>
    </r>
    <r>
      <rPr>
        <sz val="14"/>
        <color rgb="FF0070C0"/>
        <rFont val="Calibri"/>
        <family val="2"/>
        <scheme val="minor"/>
      </rPr>
      <t xml:space="preserve"> SD = $120</t>
    </r>
  </si>
  <si>
    <r>
      <rPr>
        <b/>
        <sz val="14"/>
        <color rgb="FF0070C0"/>
        <rFont val="Calibri"/>
        <family val="2"/>
        <scheme val="minor"/>
      </rPr>
      <t>Mean =</t>
    </r>
    <r>
      <rPr>
        <sz val="14"/>
        <color rgb="FF0070C0"/>
        <rFont val="Calibri"/>
        <family val="2"/>
        <scheme val="minor"/>
      </rPr>
      <t xml:space="preserve"> (400+420+390+450+410)/5 = 414 kWh</t>
    </r>
  </si>
  <si>
    <r>
      <rPr>
        <b/>
        <sz val="14"/>
        <color rgb="FF0070C0"/>
        <rFont val="Calibri"/>
        <family val="2"/>
        <scheme val="minor"/>
      </rPr>
      <t>SD ≈</t>
    </r>
    <r>
      <rPr>
        <sz val="14"/>
        <color rgb="FF0070C0"/>
        <rFont val="Calibri"/>
        <family val="2"/>
        <scheme val="minor"/>
      </rPr>
      <t xml:space="preserve"> √[(400-414)²+(420-414)²+(390-414)²+(450-414)²+(410-414)²]/5 ≈ 21.91 kWh</t>
    </r>
  </si>
  <si>
    <r>
      <rPr>
        <b/>
        <sz val="14"/>
        <color rgb="FF00B0F0"/>
        <rFont val="Calibri"/>
        <family val="2"/>
        <scheme val="minor"/>
      </rPr>
      <t>Tells us:</t>
    </r>
    <r>
      <rPr>
        <sz val="14"/>
        <color rgb="FF00B0F0"/>
        <rFont val="Calibri"/>
        <family val="2"/>
        <scheme val="minor"/>
      </rPr>
      <t xml:space="preserve"> Average use is 414 kWh with moderate variation (±22 kWh).</t>
    </r>
  </si>
  <si>
    <t>Insights:</t>
  </si>
  <si>
    <t>Consistent scoring (mean 19.6, small SD 3.1).</t>
  </si>
  <si>
    <t>No outliers (range 10, SD low).</t>
  </si>
  <si>
    <t>Likely reliable performer.</t>
  </si>
  <si>
    <t>NO MODE</t>
  </si>
  <si>
    <r>
      <rPr>
        <b/>
        <sz val="14"/>
        <color rgb="FF0070C0"/>
        <rFont val="Calibri"/>
        <family val="2"/>
        <scheme val="minor"/>
      </rPr>
      <t>Mean</t>
    </r>
    <r>
      <rPr>
        <sz val="14"/>
        <color rgb="FF0070C0"/>
        <rFont val="Calibri"/>
        <family val="2"/>
        <scheme val="minor"/>
      </rPr>
      <t xml:space="preserve"> = 19.63</t>
    </r>
  </si>
  <si>
    <r>
      <rPr>
        <b/>
        <sz val="14"/>
        <color rgb="FF0070C0"/>
        <rFont val="Calibri"/>
        <family val="2"/>
        <scheme val="minor"/>
      </rPr>
      <t>Median</t>
    </r>
    <r>
      <rPr>
        <sz val="14"/>
        <color rgb="FF0070C0"/>
        <rFont val="Calibri"/>
        <family val="2"/>
        <scheme val="minor"/>
      </rPr>
      <t xml:space="preserve"> = (19+20)/2 = 19.5</t>
    </r>
  </si>
  <si>
    <r>
      <rPr>
        <b/>
        <sz val="14"/>
        <color rgb="FF0070C0"/>
        <rFont val="Calibri"/>
        <family val="2"/>
        <scheme val="minor"/>
      </rPr>
      <t>Mode</t>
    </r>
    <r>
      <rPr>
        <sz val="14"/>
        <color rgb="FF0070C0"/>
        <rFont val="Calibri"/>
        <family val="2"/>
        <scheme val="minor"/>
      </rPr>
      <t xml:space="preserve"> = No Mode (all unique)</t>
    </r>
  </si>
  <si>
    <r>
      <rPr>
        <b/>
        <sz val="14"/>
        <color rgb="FF0070C0"/>
        <rFont val="Calibri"/>
        <family val="2"/>
        <scheme val="minor"/>
      </rPr>
      <t xml:space="preserve">Range </t>
    </r>
    <r>
      <rPr>
        <sz val="14"/>
        <color rgb="FF0070C0"/>
        <rFont val="Calibri"/>
        <family val="2"/>
        <scheme val="minor"/>
      </rPr>
      <t>= 25-15 = 10</t>
    </r>
  </si>
  <si>
    <r>
      <rPr>
        <b/>
        <sz val="14"/>
        <color rgb="FF0070C0"/>
        <rFont val="Calibri"/>
        <family val="2"/>
        <scheme val="minor"/>
      </rPr>
      <t xml:space="preserve">SD </t>
    </r>
    <r>
      <rPr>
        <sz val="14"/>
        <color rgb="FF0070C0"/>
        <rFont val="Calibri"/>
        <family val="2"/>
        <scheme val="minor"/>
      </rPr>
      <t>≈ 3.11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</si>
</sst>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4"/>
      <color theme="3" tint="0.59999389629810485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4"/>
      <color rgb="FF0070C0"/>
      <name val="Calibri"/>
      <family val="2"/>
      <scheme val="minor"/>
    </font>
    <font>
      <b/>
      <i/>
      <u/>
      <sz val="14"/>
      <color theme="5" tint="-0.249977111117893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2" borderId="0" xfId="0" applyFont="1" applyFill="1"/>
    <xf numFmtId="0" fontId="1" fillId="2" borderId="0" xfId="0" applyFont="1" applyFill="1"/>
    <xf numFmtId="0" fontId="4" fillId="0" borderId="0" xfId="0" applyFont="1"/>
    <xf numFmtId="0" fontId="4" fillId="2" borderId="0" xfId="0" applyFont="1" applyFill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3" fillId="6" borderId="0" xfId="0" applyFont="1" applyFill="1"/>
    <xf numFmtId="0" fontId="11" fillId="6" borderId="0" xfId="0" applyFont="1" applyFill="1"/>
    <xf numFmtId="0" fontId="2" fillId="6" borderId="0" xfId="0" applyFont="1" applyFill="1"/>
    <xf numFmtId="0" fontId="1" fillId="6" borderId="0" xfId="0" applyFont="1" applyFill="1"/>
    <xf numFmtId="0" fontId="2" fillId="0" borderId="0" xfId="0" applyFont="1" applyAlignment="1">
      <alignment horizontal="left"/>
    </xf>
    <xf numFmtId="0" fontId="13" fillId="6" borderId="0" xfId="0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14" fillId="6" borderId="0" xfId="0" applyFont="1" applyFill="1" applyAlignment="1">
      <alignment horizontal="left"/>
    </xf>
    <xf numFmtId="0" fontId="15" fillId="5" borderId="0" xfId="0" applyFont="1" applyFill="1" applyAlignment="1">
      <alignment horizontal="center"/>
    </xf>
    <xf numFmtId="0" fontId="15" fillId="5" borderId="0" xfId="0" applyFont="1" applyFill="1"/>
    <xf numFmtId="0" fontId="15" fillId="5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I5" sqref="I5"/>
    </sheetView>
  </sheetViews>
  <sheetFormatPr defaultRowHeight="18" x14ac:dyDescent="0.35"/>
  <cols>
    <col min="1" max="3" width="8.88671875" style="1"/>
    <col min="4" max="5" width="8.88671875" style="1" customWidth="1"/>
    <col min="6" max="8" width="8.88671875" style="1"/>
    <col min="9" max="9" width="11.33203125" style="1" customWidth="1"/>
    <col min="10" max="10" width="97.44140625" style="1" customWidth="1"/>
    <col min="11" max="16384" width="8.88671875" style="1"/>
  </cols>
  <sheetData>
    <row r="1" spans="1:10" x14ac:dyDescent="0.35">
      <c r="A1" s="10" t="s">
        <v>0</v>
      </c>
      <c r="B1" s="10">
        <v>10</v>
      </c>
      <c r="C1" s="10">
        <v>12</v>
      </c>
      <c r="D1" s="10">
        <v>11</v>
      </c>
      <c r="E1" s="10">
        <v>15</v>
      </c>
      <c r="F1" s="10">
        <v>14</v>
      </c>
      <c r="G1" s="10">
        <v>13</v>
      </c>
      <c r="H1" s="10">
        <v>12</v>
      </c>
      <c r="J1" s="5" t="s">
        <v>17</v>
      </c>
    </row>
    <row r="2" spans="1:10" x14ac:dyDescent="0.35">
      <c r="A2" s="11" t="s">
        <v>1</v>
      </c>
      <c r="B2" s="12">
        <v>12.428571428571431</v>
      </c>
      <c r="C2" s="12">
        <f>AVERAGE(B1:H1)</f>
        <v>12.428571428571429</v>
      </c>
      <c r="D2" s="12"/>
      <c r="E2" s="12"/>
      <c r="F2" s="12"/>
      <c r="G2" s="12"/>
      <c r="H2" s="12"/>
      <c r="J2" s="7" t="s">
        <v>18</v>
      </c>
    </row>
    <row r="3" spans="1:10" x14ac:dyDescent="0.35">
      <c r="A3" s="13" t="s">
        <v>2</v>
      </c>
      <c r="B3" s="12">
        <v>12</v>
      </c>
      <c r="C3" s="12">
        <f>MEDIAN(B1:H1)</f>
        <v>12</v>
      </c>
      <c r="D3" s="12"/>
      <c r="E3" s="12"/>
      <c r="F3" s="12"/>
      <c r="G3" s="12"/>
      <c r="H3" s="12"/>
      <c r="J3" s="7" t="s">
        <v>19</v>
      </c>
    </row>
    <row r="4" spans="1:10" x14ac:dyDescent="0.35">
      <c r="A4" s="14" t="s">
        <v>3</v>
      </c>
      <c r="B4" s="12">
        <v>12</v>
      </c>
      <c r="C4" s="12">
        <f>_xlfn.MODE.SNGL(B1:H1)</f>
        <v>12</v>
      </c>
      <c r="D4" s="12"/>
      <c r="E4" s="12"/>
      <c r="F4" s="12"/>
      <c r="G4" s="12"/>
      <c r="H4" s="12"/>
    </row>
    <row r="5" spans="1:10" x14ac:dyDescent="0.35">
      <c r="I5" s="27" t="s">
        <v>54</v>
      </c>
      <c r="J5" s="19" t="s">
        <v>53</v>
      </c>
    </row>
    <row r="6" spans="1:10" x14ac:dyDescent="0.35">
      <c r="A6" s="2"/>
      <c r="J6" s="20" t="s">
        <v>55</v>
      </c>
    </row>
    <row r="7" spans="1:10" x14ac:dyDescent="0.35">
      <c r="J7" s="20" t="s">
        <v>56</v>
      </c>
    </row>
    <row r="8" spans="1:10" x14ac:dyDescent="0.35">
      <c r="J8" s="20" t="s">
        <v>57</v>
      </c>
    </row>
    <row r="9" spans="1:10" x14ac:dyDescent="0.35">
      <c r="J9" s="20" t="s">
        <v>58</v>
      </c>
    </row>
    <row r="11" spans="1:10" x14ac:dyDescent="0.35">
      <c r="A11" s="3"/>
    </row>
    <row r="12" spans="1:10" x14ac:dyDescent="0.35">
      <c r="A12" s="3"/>
    </row>
    <row r="13" spans="1:10" x14ac:dyDescent="0.35">
      <c r="A13" s="3"/>
    </row>
    <row r="14" spans="1:10" x14ac:dyDescent="0.35">
      <c r="A14" s="3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I5" sqref="I5"/>
    </sheetView>
  </sheetViews>
  <sheetFormatPr defaultRowHeight="18" x14ac:dyDescent="0.35"/>
  <cols>
    <col min="1" max="8" width="8.88671875" style="1"/>
    <col min="9" max="9" width="10.77734375" style="1" customWidth="1"/>
    <col min="10" max="10" width="91.77734375" style="1" customWidth="1"/>
    <col min="11" max="16384" width="8.88671875" style="1"/>
  </cols>
  <sheetData>
    <row r="1" spans="1:10" x14ac:dyDescent="0.35">
      <c r="A1" s="10" t="s">
        <v>0</v>
      </c>
      <c r="B1" s="10">
        <v>12</v>
      </c>
      <c r="C1" s="10">
        <v>15</v>
      </c>
      <c r="D1" s="10">
        <v>14</v>
      </c>
      <c r="E1" s="10">
        <v>16</v>
      </c>
      <c r="F1" s="10">
        <v>18</v>
      </c>
      <c r="G1" s="10">
        <v>20</v>
      </c>
      <c r="H1" s="10">
        <v>19</v>
      </c>
      <c r="J1" s="5" t="s">
        <v>20</v>
      </c>
    </row>
    <row r="2" spans="1:10" x14ac:dyDescent="0.35">
      <c r="A2" s="14" t="s">
        <v>1</v>
      </c>
      <c r="B2" s="12">
        <v>16.285714285714299</v>
      </c>
      <c r="C2" s="12">
        <f>AVERAGE(B1:H1)</f>
        <v>16.285714285714285</v>
      </c>
      <c r="D2" s="9"/>
      <c r="E2" s="9"/>
      <c r="F2" s="9"/>
      <c r="G2" s="9"/>
      <c r="H2" s="9"/>
      <c r="J2" s="7" t="s">
        <v>21</v>
      </c>
    </row>
    <row r="3" spans="1:10" x14ac:dyDescent="0.35">
      <c r="J3" s="7" t="s">
        <v>22</v>
      </c>
    </row>
    <row r="5" spans="1:10" x14ac:dyDescent="0.35">
      <c r="I5" s="27" t="s">
        <v>54</v>
      </c>
      <c r="J5" s="20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J5" sqref="J5"/>
    </sheetView>
  </sheetViews>
  <sheetFormatPr defaultRowHeight="18" x14ac:dyDescent="0.35"/>
  <cols>
    <col min="1" max="9" width="8.88671875" style="1"/>
    <col min="10" max="10" width="10.88671875" style="1" customWidth="1"/>
    <col min="11" max="11" width="106.77734375" style="1" customWidth="1"/>
    <col min="12" max="16384" width="8.88671875" style="1"/>
  </cols>
  <sheetData>
    <row r="1" spans="1:11" x14ac:dyDescent="0.35">
      <c r="A1" s="10" t="s">
        <v>0</v>
      </c>
      <c r="B1" s="10">
        <v>7</v>
      </c>
      <c r="C1" s="10">
        <v>8</v>
      </c>
      <c r="D1" s="10">
        <v>9</v>
      </c>
      <c r="E1" s="10">
        <v>8</v>
      </c>
      <c r="F1" s="10">
        <v>8</v>
      </c>
      <c r="G1" s="10">
        <v>10</v>
      </c>
      <c r="H1" s="10">
        <v>7</v>
      </c>
      <c r="I1" s="10">
        <v>9</v>
      </c>
      <c r="K1" s="5" t="s">
        <v>23</v>
      </c>
    </row>
    <row r="2" spans="1:11" x14ac:dyDescent="0.35">
      <c r="A2" s="14" t="s">
        <v>3</v>
      </c>
      <c r="B2" s="12">
        <v>8</v>
      </c>
      <c r="C2" s="12">
        <f>_xlfn.MODE.SNGL(B1:I1)</f>
        <v>8</v>
      </c>
      <c r="D2" s="9"/>
      <c r="E2" s="9"/>
      <c r="F2" s="9"/>
      <c r="G2" s="9"/>
      <c r="H2" s="9"/>
      <c r="I2" s="9"/>
      <c r="K2" s="7" t="s">
        <v>24</v>
      </c>
    </row>
    <row r="3" spans="1:11" x14ac:dyDescent="0.35">
      <c r="K3" s="7" t="s">
        <v>25</v>
      </c>
    </row>
    <row r="5" spans="1:11" x14ac:dyDescent="0.35">
      <c r="J5" s="28" t="s">
        <v>54</v>
      </c>
      <c r="K5" s="22" t="s">
        <v>60</v>
      </c>
    </row>
    <row r="6" spans="1:11" x14ac:dyDescent="0.35">
      <c r="K6" s="21" t="s">
        <v>61</v>
      </c>
    </row>
    <row r="7" spans="1:11" x14ac:dyDescent="0.35">
      <c r="K7" s="21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G5" sqref="G5"/>
    </sheetView>
  </sheetViews>
  <sheetFormatPr defaultRowHeight="18" x14ac:dyDescent="0.35"/>
  <cols>
    <col min="1" max="2" width="8.88671875" style="1"/>
    <col min="3" max="5" width="8.88671875" style="1" customWidth="1"/>
    <col min="6" max="6" width="8.88671875" style="1"/>
    <col min="7" max="7" width="10.5546875" style="1" customWidth="1"/>
    <col min="8" max="8" width="93.44140625" style="1" customWidth="1"/>
    <col min="9" max="16384" width="8.88671875" style="1"/>
  </cols>
  <sheetData>
    <row r="1" spans="1:8" x14ac:dyDescent="0.35">
      <c r="A1" s="10" t="s">
        <v>0</v>
      </c>
      <c r="B1" s="10">
        <v>8000</v>
      </c>
      <c r="C1" s="10">
        <v>9500</v>
      </c>
      <c r="D1" s="10">
        <v>10200</v>
      </c>
      <c r="E1" s="10">
        <v>11000</v>
      </c>
      <c r="F1" s="10">
        <v>50000</v>
      </c>
      <c r="H1" s="5" t="s">
        <v>26</v>
      </c>
    </row>
    <row r="2" spans="1:8" x14ac:dyDescent="0.35">
      <c r="A2" s="15" t="s">
        <v>2</v>
      </c>
      <c r="B2" s="12">
        <v>10200</v>
      </c>
      <c r="C2" s="12">
        <f>MEDIAN(B1:F1)</f>
        <v>10200</v>
      </c>
      <c r="D2" s="9"/>
      <c r="E2" s="9"/>
      <c r="F2" s="9"/>
      <c r="H2" s="7" t="s">
        <v>27</v>
      </c>
    </row>
    <row r="3" spans="1:8" x14ac:dyDescent="0.35">
      <c r="A3" s="14" t="s">
        <v>1</v>
      </c>
      <c r="B3" s="12">
        <v>17740</v>
      </c>
      <c r="C3" s="12">
        <f>AVERAGE(B1:F1)</f>
        <v>17740</v>
      </c>
      <c r="D3" s="9"/>
      <c r="E3" s="9"/>
      <c r="F3" s="9"/>
      <c r="H3" s="7" t="s">
        <v>28</v>
      </c>
    </row>
    <row r="5" spans="1:8" x14ac:dyDescent="0.35">
      <c r="A5" s="2"/>
      <c r="G5" s="27" t="s">
        <v>52</v>
      </c>
      <c r="H5" s="20" t="s">
        <v>63</v>
      </c>
    </row>
    <row r="6" spans="1:8" x14ac:dyDescent="0.35">
      <c r="A6" s="3"/>
      <c r="H6" s="20" t="s">
        <v>64</v>
      </c>
    </row>
    <row r="7" spans="1:8" x14ac:dyDescent="0.35">
      <c r="A7" s="8"/>
    </row>
    <row r="10" spans="1:8" x14ac:dyDescent="0.35">
      <c r="A10" s="3"/>
    </row>
    <row r="11" spans="1:8" x14ac:dyDescent="0.35">
      <c r="A11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selection activeCell="G5" sqref="G5"/>
    </sheetView>
  </sheetViews>
  <sheetFormatPr defaultRowHeight="18" x14ac:dyDescent="0.35"/>
  <cols>
    <col min="1" max="6" width="8.88671875" style="1"/>
    <col min="7" max="7" width="10.77734375" style="1" customWidth="1"/>
    <col min="8" max="8" width="89" style="1" customWidth="1"/>
    <col min="9" max="16384" width="8.88671875" style="1"/>
  </cols>
  <sheetData>
    <row r="1" spans="1:8" x14ac:dyDescent="0.35">
      <c r="A1" s="10" t="s">
        <v>0</v>
      </c>
      <c r="B1" s="10">
        <v>25</v>
      </c>
      <c r="C1" s="10">
        <v>30</v>
      </c>
      <c r="D1" s="10">
        <v>27</v>
      </c>
      <c r="E1" s="10">
        <v>35</v>
      </c>
      <c r="F1" s="10">
        <v>40</v>
      </c>
      <c r="H1" s="5" t="s">
        <v>29</v>
      </c>
    </row>
    <row r="2" spans="1:8" x14ac:dyDescent="0.35">
      <c r="A2" s="14" t="s">
        <v>4</v>
      </c>
      <c r="B2" s="12">
        <v>15</v>
      </c>
      <c r="C2" s="12">
        <f>MAX(B1:F1)-MIN(B1:F1)</f>
        <v>15</v>
      </c>
      <c r="D2" s="9"/>
      <c r="E2" s="9"/>
      <c r="F2" s="9"/>
      <c r="H2" s="7" t="s">
        <v>30</v>
      </c>
    </row>
    <row r="3" spans="1:8" x14ac:dyDescent="0.35">
      <c r="H3" s="7" t="s">
        <v>31</v>
      </c>
    </row>
    <row r="4" spans="1:8" x14ac:dyDescent="0.35">
      <c r="H4" s="6"/>
    </row>
    <row r="5" spans="1:8" x14ac:dyDescent="0.35">
      <c r="G5" s="27" t="s">
        <v>54</v>
      </c>
      <c r="H5" s="20" t="s">
        <v>65</v>
      </c>
    </row>
    <row r="6" spans="1:8" x14ac:dyDescent="0.35">
      <c r="H6" s="20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selection activeCell="G5" sqref="G5"/>
    </sheetView>
  </sheetViews>
  <sheetFormatPr defaultRowHeight="18" x14ac:dyDescent="0.35"/>
  <cols>
    <col min="1" max="6" width="8.88671875" style="1"/>
    <col min="7" max="7" width="10.88671875" style="1" customWidth="1"/>
    <col min="8" max="8" width="108.44140625" style="1" customWidth="1"/>
    <col min="9" max="16384" width="8.88671875" style="1"/>
  </cols>
  <sheetData>
    <row r="1" spans="1:8" x14ac:dyDescent="0.35">
      <c r="A1" s="10" t="s">
        <v>0</v>
      </c>
      <c r="B1" s="10">
        <v>100</v>
      </c>
      <c r="C1" s="10">
        <v>105</v>
      </c>
      <c r="D1" s="10">
        <v>98</v>
      </c>
      <c r="E1" s="10">
        <v>110</v>
      </c>
      <c r="F1" s="10">
        <v>120</v>
      </c>
      <c r="H1" s="5" t="s">
        <v>32</v>
      </c>
    </row>
    <row r="2" spans="1:8" x14ac:dyDescent="0.35">
      <c r="A2" s="15" t="s">
        <v>4</v>
      </c>
      <c r="B2" s="12">
        <v>22</v>
      </c>
      <c r="C2" s="12">
        <f>MAX(B1:F1)-MIN(B1:F1)</f>
        <v>22</v>
      </c>
      <c r="D2" s="9"/>
      <c r="E2" s="9"/>
      <c r="F2" s="9"/>
      <c r="H2" s="7" t="s">
        <v>33</v>
      </c>
    </row>
    <row r="3" spans="1:8" x14ac:dyDescent="0.35">
      <c r="H3" s="7" t="s">
        <v>34</v>
      </c>
    </row>
    <row r="5" spans="1:8" x14ac:dyDescent="0.35">
      <c r="G5" s="27" t="s">
        <v>54</v>
      </c>
      <c r="H5" s="21" t="s">
        <v>67</v>
      </c>
    </row>
    <row r="6" spans="1:8" x14ac:dyDescent="0.35">
      <c r="H6" s="21" t="s">
        <v>68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D7" sqref="D7"/>
    </sheetView>
  </sheetViews>
  <sheetFormatPr defaultRowHeight="18" x14ac:dyDescent="0.35"/>
  <cols>
    <col min="1" max="1" width="13.6640625" style="9" customWidth="1"/>
    <col min="2" max="2" width="11" style="9" customWidth="1"/>
    <col min="3" max="3" width="18.21875" style="9" customWidth="1"/>
    <col min="4" max="4" width="10.88671875" style="9" customWidth="1"/>
    <col min="5" max="5" width="99.109375" style="9" customWidth="1"/>
    <col min="6" max="16384" width="8.88671875" style="9"/>
  </cols>
  <sheetData>
    <row r="1" spans="1:8" x14ac:dyDescent="0.35">
      <c r="A1" s="10" t="s">
        <v>5</v>
      </c>
      <c r="B1" s="10" t="s">
        <v>6</v>
      </c>
      <c r="C1" s="10" t="s">
        <v>7</v>
      </c>
      <c r="E1" s="5" t="s">
        <v>35</v>
      </c>
    </row>
    <row r="2" spans="1:8" x14ac:dyDescent="0.35">
      <c r="A2" s="14" t="s">
        <v>8</v>
      </c>
      <c r="B2" s="12">
        <v>6</v>
      </c>
      <c r="C2" s="12" t="s">
        <v>9</v>
      </c>
      <c r="E2" s="4" t="s">
        <v>36</v>
      </c>
    </row>
    <row r="3" spans="1:8" x14ac:dyDescent="0.35">
      <c r="A3" s="15" t="s">
        <v>10</v>
      </c>
      <c r="B3" s="12">
        <v>15</v>
      </c>
      <c r="C3" s="12"/>
      <c r="E3" s="4" t="s">
        <v>37</v>
      </c>
    </row>
    <row r="4" spans="1:8" x14ac:dyDescent="0.35">
      <c r="E4" s="4" t="s">
        <v>38</v>
      </c>
    </row>
    <row r="5" spans="1:8" x14ac:dyDescent="0.35">
      <c r="E5" s="4" t="s">
        <v>39</v>
      </c>
    </row>
    <row r="7" spans="1:8" x14ac:dyDescent="0.35">
      <c r="D7" s="29" t="s">
        <v>54</v>
      </c>
      <c r="E7" s="24" t="s">
        <v>70</v>
      </c>
    </row>
    <row r="8" spans="1:8" x14ac:dyDescent="0.35">
      <c r="E8" s="24" t="s">
        <v>71</v>
      </c>
    </row>
    <row r="9" spans="1:8" x14ac:dyDescent="0.35">
      <c r="C9" s="23"/>
      <c r="D9" s="23"/>
      <c r="E9" s="25" t="s">
        <v>69</v>
      </c>
      <c r="F9" s="23"/>
      <c r="G9" s="23"/>
      <c r="H9" s="2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activeCell="D7" sqref="D7"/>
    </sheetView>
  </sheetViews>
  <sheetFormatPr defaultRowHeight="18" x14ac:dyDescent="0.35"/>
  <cols>
    <col min="1" max="1" width="8.88671875" style="9"/>
    <col min="2" max="2" width="21.6640625" style="9" customWidth="1"/>
    <col min="3" max="3" width="8.88671875" style="9"/>
    <col min="4" max="4" width="11.44140625" style="9" customWidth="1"/>
    <col min="5" max="5" width="84.21875" style="9" customWidth="1"/>
    <col min="6" max="16384" width="8.88671875" style="9"/>
  </cols>
  <sheetData>
    <row r="1" spans="1:5" x14ac:dyDescent="0.35">
      <c r="A1" s="10" t="s">
        <v>11</v>
      </c>
      <c r="B1" s="10" t="s">
        <v>12</v>
      </c>
      <c r="C1" s="10" t="s">
        <v>13</v>
      </c>
      <c r="E1" s="5" t="s">
        <v>40</v>
      </c>
    </row>
    <row r="2" spans="1:5" x14ac:dyDescent="0.35">
      <c r="A2" s="14" t="s">
        <v>14</v>
      </c>
      <c r="B2" s="12">
        <v>30</v>
      </c>
      <c r="C2" s="12"/>
      <c r="E2" s="4" t="s">
        <v>41</v>
      </c>
    </row>
    <row r="3" spans="1:5" x14ac:dyDescent="0.35">
      <c r="A3" s="15" t="s">
        <v>15</v>
      </c>
      <c r="B3" s="12">
        <v>120</v>
      </c>
      <c r="C3" s="12" t="s">
        <v>16</v>
      </c>
      <c r="E3" s="4" t="s">
        <v>42</v>
      </c>
    </row>
    <row r="4" spans="1:5" x14ac:dyDescent="0.35">
      <c r="E4" s="4" t="s">
        <v>43</v>
      </c>
    </row>
    <row r="5" spans="1:5" x14ac:dyDescent="0.35">
      <c r="E5" s="4" t="s">
        <v>44</v>
      </c>
    </row>
    <row r="7" spans="1:5" x14ac:dyDescent="0.35">
      <c r="D7" s="27" t="s">
        <v>54</v>
      </c>
      <c r="E7" s="24" t="s">
        <v>73</v>
      </c>
    </row>
    <row r="8" spans="1:5" x14ac:dyDescent="0.35">
      <c r="E8" s="24" t="s">
        <v>74</v>
      </c>
    </row>
    <row r="9" spans="1:5" x14ac:dyDescent="0.35">
      <c r="E9" s="25" t="s">
        <v>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>
      <selection activeCell="G5" sqref="G5"/>
    </sheetView>
  </sheetViews>
  <sheetFormatPr defaultRowHeight="18" x14ac:dyDescent="0.35"/>
  <cols>
    <col min="1" max="1" width="21.6640625" style="9" customWidth="1"/>
    <col min="2" max="6" width="8.88671875" style="9"/>
    <col min="7" max="7" width="11.5546875" style="9" customWidth="1"/>
    <col min="8" max="8" width="127.6640625" style="9" customWidth="1"/>
    <col min="9" max="16384" width="8.88671875" style="9"/>
  </cols>
  <sheetData>
    <row r="1" spans="1:8" x14ac:dyDescent="0.35">
      <c r="A1" s="10" t="s">
        <v>0</v>
      </c>
      <c r="B1" s="10">
        <v>400</v>
      </c>
      <c r="C1" s="10">
        <v>420</v>
      </c>
      <c r="D1" s="10">
        <v>390</v>
      </c>
      <c r="E1" s="10">
        <v>450</v>
      </c>
      <c r="F1" s="10">
        <v>410</v>
      </c>
      <c r="H1" s="5" t="s">
        <v>47</v>
      </c>
    </row>
    <row r="2" spans="1:8" x14ac:dyDescent="0.35">
      <c r="A2" s="14" t="s">
        <v>1</v>
      </c>
      <c r="B2" s="12">
        <v>414</v>
      </c>
      <c r="C2" s="12">
        <f>AVERAGE(B1:F1)</f>
        <v>414</v>
      </c>
      <c r="H2" s="4" t="s">
        <v>45</v>
      </c>
    </row>
    <row r="3" spans="1:8" x14ac:dyDescent="0.35">
      <c r="A3" s="16" t="s">
        <v>12</v>
      </c>
      <c r="B3" s="12">
        <v>20.591260281974002</v>
      </c>
      <c r="C3" s="12">
        <f>_xlfn.STDEV.P(B1:F1)</f>
        <v>20.591260281974002</v>
      </c>
      <c r="H3" s="7" t="s">
        <v>46</v>
      </c>
    </row>
    <row r="5" spans="1:8" x14ac:dyDescent="0.35">
      <c r="G5" s="27" t="s">
        <v>54</v>
      </c>
      <c r="H5" s="24" t="s">
        <v>75</v>
      </c>
    </row>
    <row r="6" spans="1:8" x14ac:dyDescent="0.35">
      <c r="H6" s="24" t="s">
        <v>76</v>
      </c>
    </row>
    <row r="7" spans="1:8" x14ac:dyDescent="0.35">
      <c r="H7" s="25" t="s">
        <v>77</v>
      </c>
    </row>
    <row r="8" spans="1:8" x14ac:dyDescent="0.35">
      <c r="H8" s="23"/>
    </row>
    <row r="9" spans="1:8" x14ac:dyDescent="0.35">
      <c r="H9" s="2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4"/>
  <sheetViews>
    <sheetView workbookViewId="0">
      <selection activeCell="J6" sqref="J6"/>
    </sheetView>
  </sheetViews>
  <sheetFormatPr defaultRowHeight="18" x14ac:dyDescent="0.35"/>
  <cols>
    <col min="1" max="1" width="21.6640625" style="9" customWidth="1"/>
    <col min="2" max="2" width="11" style="9" customWidth="1"/>
    <col min="3" max="9" width="8.88671875" style="9"/>
    <col min="10" max="10" width="11" style="9" customWidth="1"/>
    <col min="11" max="11" width="87.77734375" style="9" customWidth="1"/>
    <col min="12" max="16384" width="8.88671875" style="9"/>
  </cols>
  <sheetData>
    <row r="1" spans="1:11" x14ac:dyDescent="0.35">
      <c r="A1" s="10" t="s">
        <v>0</v>
      </c>
      <c r="B1" s="10">
        <v>15</v>
      </c>
      <c r="C1" s="10">
        <v>18</v>
      </c>
      <c r="D1" s="10">
        <v>20</v>
      </c>
      <c r="E1" s="10">
        <v>22</v>
      </c>
      <c r="F1" s="10">
        <v>25</v>
      </c>
      <c r="G1" s="10">
        <v>17</v>
      </c>
      <c r="H1" s="10">
        <v>19</v>
      </c>
      <c r="I1" s="10">
        <v>21</v>
      </c>
      <c r="K1" s="5" t="s">
        <v>48</v>
      </c>
    </row>
    <row r="2" spans="1:11" x14ac:dyDescent="0.35">
      <c r="A2" s="17" t="s">
        <v>1</v>
      </c>
      <c r="B2" s="12">
        <v>19.625</v>
      </c>
      <c r="C2" s="12">
        <f>AVERAGE(B1:I1)</f>
        <v>19.625</v>
      </c>
      <c r="K2" s="4" t="s">
        <v>49</v>
      </c>
    </row>
    <row r="3" spans="1:11" x14ac:dyDescent="0.35">
      <c r="A3" s="15" t="s">
        <v>2</v>
      </c>
      <c r="B3" s="12">
        <v>19.5</v>
      </c>
      <c r="C3" s="12">
        <f>MEDIAN(B1:I1)</f>
        <v>19.5</v>
      </c>
      <c r="K3" s="4" t="s">
        <v>50</v>
      </c>
    </row>
    <row r="4" spans="1:11" x14ac:dyDescent="0.35">
      <c r="A4" s="14" t="s">
        <v>3</v>
      </c>
      <c r="B4" s="12" t="s">
        <v>82</v>
      </c>
      <c r="C4" s="12" t="e">
        <f>_xlfn.MODE.SNGL(B1:I1)</f>
        <v>#N/A</v>
      </c>
      <c r="K4" s="4" t="s">
        <v>51</v>
      </c>
    </row>
    <row r="5" spans="1:11" x14ac:dyDescent="0.35">
      <c r="A5" s="18" t="s">
        <v>4</v>
      </c>
      <c r="B5" s="12">
        <v>10</v>
      </c>
      <c r="C5" s="12">
        <f>MAX(B1:I1)-MIN(B1:I1)</f>
        <v>10</v>
      </c>
    </row>
    <row r="6" spans="1:11" x14ac:dyDescent="0.35">
      <c r="A6" s="16" t="s">
        <v>12</v>
      </c>
      <c r="B6" s="12">
        <v>2.912795049432761</v>
      </c>
      <c r="C6" s="12">
        <f>_xlfn.STDEV.P(B1:I1)</f>
        <v>2.912795049432761</v>
      </c>
      <c r="J6" s="27" t="s">
        <v>54</v>
      </c>
      <c r="K6" s="24" t="s">
        <v>83</v>
      </c>
    </row>
    <row r="7" spans="1:11" x14ac:dyDescent="0.35">
      <c r="K7" s="24" t="s">
        <v>84</v>
      </c>
    </row>
    <row r="8" spans="1:11" x14ac:dyDescent="0.35">
      <c r="K8" s="24" t="s">
        <v>85</v>
      </c>
    </row>
    <row r="9" spans="1:11" x14ac:dyDescent="0.35">
      <c r="K9" s="24" t="s">
        <v>86</v>
      </c>
    </row>
    <row r="10" spans="1:11" x14ac:dyDescent="0.35">
      <c r="K10" s="24" t="s">
        <v>87</v>
      </c>
    </row>
    <row r="11" spans="1:11" x14ac:dyDescent="0.35">
      <c r="K11" s="26" t="s">
        <v>78</v>
      </c>
    </row>
    <row r="12" spans="1:11" x14ac:dyDescent="0.35">
      <c r="K12" s="25" t="s">
        <v>79</v>
      </c>
    </row>
    <row r="13" spans="1:11" x14ac:dyDescent="0.35">
      <c r="K13" s="25" t="s">
        <v>80</v>
      </c>
    </row>
    <row r="14" spans="1:11" x14ac:dyDescent="0.35">
      <c r="K14" s="25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GHOSH</cp:lastModifiedBy>
  <dcterms:created xsi:type="dcterms:W3CDTF">2026-01-16T08:39:58Z</dcterms:created>
  <dcterms:modified xsi:type="dcterms:W3CDTF">2026-01-21T06:17:19Z</dcterms:modified>
</cp:coreProperties>
</file>