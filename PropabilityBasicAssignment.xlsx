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A\Documents\"/>
    </mc:Choice>
  </mc:AlternateContent>
  <xr:revisionPtr revIDLastSave="0" documentId="13_ncr:1_{DA3B7FB7-F4DF-45CF-ACAE-0F8435D3D3D3}" xr6:coauthVersionLast="47" xr6:coauthVersionMax="47" xr10:uidLastSave="{00000000-0000-0000-0000-000000000000}"/>
  <bookViews>
    <workbookView xWindow="-108" yWindow="-108" windowWidth="23256" windowHeight="12456" activeTab="9" xr2:uid="{94350643-8829-4858-AAFE-C6511083FEF9}"/>
  </bookViews>
  <sheets>
    <sheet name="Q.1)" sheetId="1" r:id="rId1"/>
    <sheet name="Q.2)" sheetId="2" r:id="rId2"/>
    <sheet name="Q.3)" sheetId="3" r:id="rId3"/>
    <sheet name="Q.4)" sheetId="4" r:id="rId4"/>
    <sheet name="Q.5)" sheetId="5" r:id="rId5"/>
    <sheet name="Q.6)" sheetId="6" r:id="rId6"/>
    <sheet name="Q.7)" sheetId="8" r:id="rId7"/>
    <sheet name="Q.8)" sheetId="7" r:id="rId8"/>
    <sheet name="Q.9)" sheetId="9" r:id="rId9"/>
    <sheet name="Q.10)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9" l="1"/>
  <c r="B4" i="9"/>
  <c r="B11" i="8"/>
  <c r="B6" i="7"/>
  <c r="B5" i="7"/>
  <c r="B7" i="7" s="1"/>
  <c r="B6" i="6"/>
  <c r="B6" i="5"/>
  <c r="B6" i="3"/>
  <c r="B5" i="3"/>
  <c r="B4" i="3"/>
  <c r="B11" i="2"/>
  <c r="B10" i="2"/>
  <c r="B9" i="2"/>
  <c r="B8" i="2"/>
  <c r="B7" i="2"/>
  <c r="B9" i="1"/>
  <c r="B8" i="1"/>
  <c r="B7" i="1"/>
  <c r="B6" i="1"/>
  <c r="B5" i="1"/>
</calcChain>
</file>

<file path=xl/sharedStrings.xml><?xml version="1.0" encoding="utf-8"?>
<sst xmlns="http://schemas.openxmlformats.org/spreadsheetml/2006/main" count="98" uniqueCount="98">
  <si>
    <t>Question 1: A die is rolled. What is the probability of getting</t>
  </si>
  <si>
    <t>(a) An even number</t>
  </si>
  <si>
    <t>(b) A number greater than 4</t>
  </si>
  <si>
    <t>Total Outcomes =</t>
  </si>
  <si>
    <t>Even Outcomes =</t>
  </si>
  <si>
    <t>P(Even) =</t>
  </si>
  <si>
    <t>&gt;4 Outcomes =</t>
  </si>
  <si>
    <t>p(&gt;4) =</t>
  </si>
  <si>
    <t>Question 2: In a class of 50 students:</t>
  </si>
  <si>
    <t>20 like Mathematics (M)</t>
  </si>
  <si>
    <t>15 like Science (S)</t>
  </si>
  <si>
    <t>5 like both subjects</t>
  </si>
  <si>
    <t>What is the probability that a student chosen at random likes Mathematics or Science?</t>
  </si>
  <si>
    <t>Math(M) =</t>
  </si>
  <si>
    <t>Science(S) =</t>
  </si>
  <si>
    <t>Both =</t>
  </si>
  <si>
    <t>Total Students =</t>
  </si>
  <si>
    <t>P(Math[M]) or (Science[S]) =</t>
  </si>
  <si>
    <t>Question 3: A bag has 3 red and 2 blue balls. If one ball is drawn randomly and is red, what is the probability</t>
  </si>
  <si>
    <t>that the next ball is also red (without replacement)?</t>
  </si>
  <si>
    <t>Red Balls Left =</t>
  </si>
  <si>
    <t>Total Balls Left =</t>
  </si>
  <si>
    <t>P(R2|R1) =</t>
  </si>
  <si>
    <t>Question 4: The population of a school is divided into 60% boys and 40% girls. If you want equal representation</t>
  </si>
  <si>
    <t>of both genders in the sample, which method should you use: Simple Random Sampling or Stratified Sampling?</t>
  </si>
  <si>
    <t>Why?</t>
  </si>
  <si>
    <t>Method</t>
  </si>
  <si>
    <t>Boys(%)</t>
  </si>
  <si>
    <t>Girls(%)</t>
  </si>
  <si>
    <t>Startified Sampling</t>
  </si>
  <si>
    <t>Use Stratified Sampling to ensure 60:40 ratio in sample.</t>
  </si>
  <si>
    <t>Excel formula N/A for calculation.</t>
  </si>
  <si>
    <t>Explanation:</t>
  </si>
  <si>
    <t>The average height of 1000 students = 160 cm. A sample of 100 students shows an average height = 158 cm.</t>
  </si>
  <si>
    <t>Find the sampling error.</t>
  </si>
  <si>
    <t>Sample mean :</t>
  </si>
  <si>
    <t>Population mean :</t>
  </si>
  <si>
    <t>Sampling Error :</t>
  </si>
  <si>
    <t>Question 6: The population mean salary is ₹50,000 with σ = ₹5,000. If we take a sample of 100 employees, what</t>
  </si>
  <si>
    <t>is the standard error of the mean (SEM)?</t>
  </si>
  <si>
    <t>σ (Population SD) :</t>
  </si>
  <si>
    <t>n (Sample size)</t>
  </si>
  <si>
    <t>SEM</t>
  </si>
  <si>
    <t>Question 7: In a group of 100 students:</t>
  </si>
  <si>
    <t>40 like Cricket (C)</t>
  </si>
  <si>
    <t>30 like Football (F)</t>
  </si>
  <si>
    <t>10 like both Cricket and Football</t>
  </si>
  <si>
    <t>Find the probability that a student likes at least one sport.</t>
  </si>
  <si>
    <t>Total cards</t>
  </si>
  <si>
    <t>Aces</t>
  </si>
  <si>
    <t>P(1st Ace)</t>
  </si>
  <si>
    <t>P(2nd Ace|A1)</t>
  </si>
  <si>
    <t>P(both Aces)</t>
  </si>
  <si>
    <t>Question 8: From a deck of 52 cards, two cards are drawn without replacement. What is the probability that both are Aces?</t>
  </si>
  <si>
    <t>Cricket :</t>
  </si>
  <si>
    <t>Football :</t>
  </si>
  <si>
    <t>Both :</t>
  </si>
  <si>
    <t>Total :</t>
  </si>
  <si>
    <t>P(C or F) :</t>
  </si>
  <si>
    <t>Question 9: A factory produces bulbs with 2% defective rate. If 5 bulbs are chosen at random, what is the probability that all are non-defective?</t>
  </si>
  <si>
    <t>Non-defective rate :</t>
  </si>
  <si>
    <t>Defective rate :</t>
  </si>
  <si>
    <t>Bulbs picked</t>
  </si>
  <si>
    <t>P(all non-defective) :</t>
  </si>
  <si>
    <t>Question 10: Differentiate between discrete and continuous random variables with examples.</t>
  </si>
  <si>
    <t>Characteristics</t>
  </si>
  <si>
    <t>Discrete Random Variable</t>
  </si>
  <si>
    <t>Continuous Random Variable</t>
  </si>
  <si>
    <t>A discrete random variable takes countable values</t>
  </si>
  <si>
    <t>A continuous random variable takes infinite values within a range</t>
  </si>
  <si>
    <t>Countability</t>
  </si>
  <si>
    <t>Type of values</t>
  </si>
  <si>
    <t>Nature of numbers</t>
  </si>
  <si>
    <t>Graph representation</t>
  </si>
  <si>
    <t>Probability calculation</t>
  </si>
  <si>
    <t>Probability function</t>
  </si>
  <si>
    <t>Sum of probabilities</t>
  </si>
  <si>
    <t>Real-life examples</t>
  </si>
  <si>
    <t>Obtained</t>
  </si>
  <si>
    <t>Definition</t>
  </si>
  <si>
    <t>Values are countable</t>
  </si>
  <si>
    <t>Values are uncountable</t>
  </si>
  <si>
    <t>Takes only distinct values</t>
  </si>
  <si>
    <t>Takes values within an interval</t>
  </si>
  <si>
    <t>Usually whole numbers</t>
  </si>
  <si>
    <t>Can take fractional or decimal values</t>
  </si>
  <si>
    <t>Represented using bar graph</t>
  </si>
  <si>
    <t>Represented using histogram or curve</t>
  </si>
  <si>
    <t>Probability is calculated at a specific point</t>
  </si>
  <si>
    <t>Probability is calculated over a range</t>
  </si>
  <si>
    <t>Uses Probability Mass Function (PMF)</t>
  </si>
  <si>
    <t>Uses Probability Density Function (PDF)</t>
  </si>
  <si>
    <t>Sum of all probabilities equals 1</t>
  </si>
  <si>
    <t>Total area under the curve equals 1</t>
  </si>
  <si>
    <t>Discrete variables are obtained by counting</t>
  </si>
  <si>
    <t>Continuous variables are obtained by measurement</t>
  </si>
  <si>
    <t>Example: Number of students, number of cars</t>
  </si>
  <si>
    <t>Example: Height, weight,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</si>
</sst>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00"/>
  </numFmts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i/>
      <sz val="14"/>
      <color rgb="FF0070C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5" tint="-0.499984740745262"/>
      <name val="Calibri"/>
      <family val="2"/>
      <scheme val="minor"/>
    </font>
    <font>
      <b/>
      <sz val="16"/>
      <color theme="5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6"/>
      <color rgb="FF0070C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6" fillId="5" borderId="0" xfId="0" applyFont="1" applyFill="1"/>
    <xf numFmtId="0" fontId="8" fillId="5" borderId="0" xfId="0" applyFont="1" applyFill="1" applyAlignment="1">
      <alignment horizontal="left" vertical="top"/>
    </xf>
    <xf numFmtId="0" fontId="8" fillId="5" borderId="0" xfId="0" applyFont="1" applyFill="1"/>
    <xf numFmtId="0" fontId="7" fillId="5" borderId="0" xfId="0" applyFont="1" applyFill="1"/>
    <xf numFmtId="0" fontId="8" fillId="0" borderId="0" xfId="0" applyFont="1"/>
    <xf numFmtId="9" fontId="4" fillId="7" borderId="3" xfId="0" applyNumberFormat="1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2" fontId="2" fillId="4" borderId="6" xfId="0" applyNumberFormat="1" applyFont="1" applyFill="1" applyBorder="1" applyAlignment="1">
      <alignment horizontal="center"/>
    </xf>
    <xf numFmtId="165" fontId="2" fillId="4" borderId="6" xfId="0" applyNumberFormat="1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4" fillId="7" borderId="3" xfId="0" applyFont="1" applyFill="1" applyBorder="1"/>
    <xf numFmtId="0" fontId="4" fillId="7" borderId="4" xfId="0" applyFont="1" applyFill="1" applyBorder="1"/>
    <xf numFmtId="0" fontId="2" fillId="4" borderId="6" xfId="0" applyFont="1" applyFill="1" applyBorder="1"/>
    <xf numFmtId="0" fontId="3" fillId="6" borderId="7" xfId="0" applyFont="1" applyFill="1" applyBorder="1"/>
    <xf numFmtId="0" fontId="3" fillId="6" borderId="8" xfId="0" applyFont="1" applyFill="1" applyBorder="1"/>
    <xf numFmtId="0" fontId="3" fillId="6" borderId="9" xfId="0" applyFont="1" applyFill="1" applyBorder="1"/>
    <xf numFmtId="9" fontId="4" fillId="7" borderId="4" xfId="0" applyNumberFormat="1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9" fillId="2" borderId="10" xfId="0" applyFont="1" applyFill="1" applyBorder="1"/>
    <xf numFmtId="0" fontId="10" fillId="8" borderId="2" xfId="0" applyFont="1" applyFill="1" applyBorder="1"/>
    <xf numFmtId="0" fontId="10" fillId="8" borderId="11" xfId="0" applyFont="1" applyFill="1" applyBorder="1"/>
    <xf numFmtId="0" fontId="10" fillId="8" borderId="3" xfId="0" applyFont="1" applyFill="1" applyBorder="1"/>
    <xf numFmtId="0" fontId="10" fillId="8" borderId="5" xfId="0" applyFont="1" applyFill="1" applyBorder="1"/>
    <xf numFmtId="0" fontId="10" fillId="8" borderId="12" xfId="0" applyFont="1" applyFill="1" applyBorder="1"/>
    <xf numFmtId="0" fontId="10" fillId="8" borderId="13" xfId="0" applyFont="1" applyFill="1" applyBorder="1"/>
    <xf numFmtId="0" fontId="10" fillId="0" borderId="0" xfId="0" applyFont="1" applyFill="1"/>
    <xf numFmtId="0" fontId="8" fillId="0" borderId="0" xfId="0" applyFont="1" applyFill="1"/>
    <xf numFmtId="0" fontId="6" fillId="0" borderId="0" xfId="0" applyFont="1" applyFill="1"/>
    <xf numFmtId="0" fontId="1" fillId="7" borderId="9" xfId="0" applyFont="1" applyFill="1" applyBorder="1"/>
    <xf numFmtId="0" fontId="11" fillId="6" borderId="1" xfId="0" applyFont="1" applyFill="1" applyBorder="1"/>
    <xf numFmtId="0" fontId="2" fillId="6" borderId="10" xfId="0" applyFont="1" applyFill="1" applyBorder="1"/>
    <xf numFmtId="0" fontId="11" fillId="6" borderId="10" xfId="0" applyFont="1" applyFill="1" applyBorder="1"/>
    <xf numFmtId="0" fontId="1" fillId="7" borderId="14" xfId="0" applyFont="1" applyFill="1" applyBorder="1"/>
    <xf numFmtId="0" fontId="1" fillId="7" borderId="1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C29B-A9FB-4EA4-9CB9-0426F50B8D4B}">
  <dimension ref="A1:G9"/>
  <sheetViews>
    <sheetView workbookViewId="0">
      <selection activeCell="C10" sqref="C10"/>
    </sheetView>
  </sheetViews>
  <sheetFormatPr defaultColWidth="8.77734375" defaultRowHeight="18" x14ac:dyDescent="0.35"/>
  <cols>
    <col min="1" max="1" width="20.109375" style="3" customWidth="1"/>
    <col min="2" max="2" width="9.6640625" style="3" customWidth="1"/>
    <col min="3" max="3" width="10.21875" style="3" customWidth="1"/>
    <col min="4" max="5" width="8.77734375" style="3"/>
    <col min="6" max="6" width="9" style="3" customWidth="1"/>
    <col min="7" max="7" width="9.5546875" style="3" customWidth="1"/>
    <col min="8" max="16384" width="8.77734375" style="3"/>
  </cols>
  <sheetData>
    <row r="1" spans="1:7" ht="21" x14ac:dyDescent="0.35">
      <c r="A1" s="7" t="s">
        <v>0</v>
      </c>
      <c r="B1" s="7"/>
      <c r="C1" s="7"/>
      <c r="D1" s="7"/>
      <c r="E1" s="7"/>
      <c r="F1" s="7"/>
      <c r="G1" s="7"/>
    </row>
    <row r="2" spans="1:7" ht="21" x14ac:dyDescent="0.35">
      <c r="A2" s="7" t="s">
        <v>1</v>
      </c>
      <c r="B2" s="7"/>
      <c r="C2" s="7"/>
      <c r="D2" s="7"/>
      <c r="E2" s="7"/>
      <c r="F2" s="7"/>
      <c r="G2" s="7"/>
    </row>
    <row r="3" spans="1:7" ht="21" x14ac:dyDescent="0.35">
      <c r="A3" s="7" t="s">
        <v>2</v>
      </c>
      <c r="B3" s="7"/>
      <c r="C3" s="7"/>
      <c r="D3" s="7"/>
      <c r="E3" s="7"/>
      <c r="F3" s="7"/>
      <c r="G3" s="7"/>
    </row>
    <row r="4" spans="1:7" ht="18.600000000000001" thickBot="1" x14ac:dyDescent="0.4"/>
    <row r="5" spans="1:7" x14ac:dyDescent="0.35">
      <c r="A5" s="15" t="s">
        <v>3</v>
      </c>
      <c r="B5" s="18">
        <f>6</f>
        <v>6</v>
      </c>
      <c r="C5" s="2"/>
      <c r="D5" s="2"/>
    </row>
    <row r="6" spans="1:7" ht="18.600000000000001" thickBot="1" x14ac:dyDescent="0.4">
      <c r="A6" s="16" t="s">
        <v>4</v>
      </c>
      <c r="B6" s="12">
        <f>3</f>
        <v>3</v>
      </c>
      <c r="C6" s="2"/>
      <c r="D6" s="2"/>
    </row>
    <row r="7" spans="1:7" ht="18.600000000000001" thickBot="1" x14ac:dyDescent="0.4">
      <c r="A7" s="16" t="s">
        <v>5</v>
      </c>
      <c r="B7" s="27">
        <f>B6/B5</f>
        <v>0.5</v>
      </c>
      <c r="C7" s="2"/>
      <c r="D7" s="2"/>
    </row>
    <row r="8" spans="1:7" ht="18.600000000000001" thickBot="1" x14ac:dyDescent="0.4">
      <c r="A8" s="16" t="s">
        <v>6</v>
      </c>
      <c r="B8" s="12">
        <f>2</f>
        <v>2</v>
      </c>
      <c r="C8" s="2"/>
      <c r="D8" s="2"/>
    </row>
    <row r="9" spans="1:7" ht="18.600000000000001" thickBot="1" x14ac:dyDescent="0.4">
      <c r="A9" s="17" t="s">
        <v>7</v>
      </c>
      <c r="B9" s="27">
        <f>B8/B5</f>
        <v>0.33333333333333331</v>
      </c>
      <c r="C9" s="2"/>
      <c r="D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6928A-810C-4F72-9C5D-2D4B5B97B1E1}">
  <dimension ref="A1:M16"/>
  <sheetViews>
    <sheetView workbookViewId="0">
      <selection activeCell="D8" sqref="D8"/>
    </sheetView>
  </sheetViews>
  <sheetFormatPr defaultRowHeight="21" x14ac:dyDescent="0.4"/>
  <cols>
    <col min="1" max="1" width="31.109375" style="4" customWidth="1"/>
    <col min="2" max="8" width="8.88671875" style="4"/>
    <col min="9" max="9" width="15.44140625" style="4" customWidth="1"/>
    <col min="10" max="10" width="8.88671875" style="4"/>
    <col min="11" max="11" width="10.21875" style="4" customWidth="1"/>
    <col min="12" max="16384" width="8.88671875" style="4"/>
  </cols>
  <sheetData>
    <row r="1" spans="1:13" x14ac:dyDescent="0.4">
      <c r="A1" s="8" t="s">
        <v>8</v>
      </c>
      <c r="B1" s="8"/>
      <c r="C1" s="8"/>
      <c r="D1" s="8"/>
      <c r="E1" s="8"/>
      <c r="F1" s="8"/>
      <c r="G1" s="8"/>
      <c r="H1" s="8"/>
      <c r="I1" s="9"/>
      <c r="J1" s="5"/>
      <c r="K1" s="5"/>
      <c r="L1" s="5"/>
      <c r="M1" s="5"/>
    </row>
    <row r="2" spans="1:13" x14ac:dyDescent="0.4">
      <c r="A2" s="8" t="s">
        <v>9</v>
      </c>
      <c r="B2" s="8"/>
      <c r="C2" s="8"/>
      <c r="D2" s="8"/>
      <c r="E2" s="8"/>
      <c r="F2" s="8"/>
      <c r="G2" s="8"/>
      <c r="H2" s="8"/>
      <c r="I2" s="9"/>
      <c r="J2" s="5"/>
      <c r="K2" s="5"/>
      <c r="L2" s="5"/>
      <c r="M2" s="5"/>
    </row>
    <row r="3" spans="1:13" x14ac:dyDescent="0.4">
      <c r="A3" s="8" t="s">
        <v>10</v>
      </c>
      <c r="B3" s="8"/>
      <c r="C3" s="8"/>
      <c r="D3" s="8"/>
      <c r="E3" s="8"/>
      <c r="F3" s="8"/>
      <c r="G3" s="8"/>
      <c r="H3" s="8"/>
      <c r="I3" s="9"/>
      <c r="J3" s="5"/>
      <c r="K3" s="5"/>
      <c r="L3" s="5"/>
      <c r="M3" s="5"/>
    </row>
    <row r="4" spans="1:13" x14ac:dyDescent="0.4">
      <c r="A4" s="8" t="s">
        <v>11</v>
      </c>
      <c r="B4" s="8"/>
      <c r="C4" s="8"/>
      <c r="D4" s="8"/>
      <c r="E4" s="8"/>
      <c r="F4" s="8"/>
      <c r="G4" s="8"/>
      <c r="H4" s="8"/>
      <c r="I4" s="9"/>
      <c r="J4" s="5"/>
      <c r="K4" s="5"/>
      <c r="L4" s="5"/>
      <c r="M4" s="5"/>
    </row>
    <row r="5" spans="1:13" x14ac:dyDescent="0.4">
      <c r="A5" s="8" t="s">
        <v>12</v>
      </c>
      <c r="B5" s="8"/>
      <c r="C5" s="8"/>
      <c r="D5" s="8"/>
      <c r="E5" s="8"/>
      <c r="F5" s="8"/>
      <c r="G5" s="8"/>
      <c r="H5" s="8"/>
      <c r="I5" s="9"/>
      <c r="J5" s="5"/>
      <c r="K5" s="5"/>
      <c r="L5" s="5"/>
      <c r="M5" s="5"/>
    </row>
    <row r="6" spans="1:13" ht="21.6" thickBot="1" x14ac:dyDescent="0.45"/>
    <row r="7" spans="1:13" x14ac:dyDescent="0.4">
      <c r="A7" s="15" t="s">
        <v>13</v>
      </c>
      <c r="B7" s="18">
        <f>20</f>
        <v>20</v>
      </c>
      <c r="C7" s="1"/>
      <c r="D7" s="1"/>
      <c r="E7" s="1"/>
    </row>
    <row r="8" spans="1:13" x14ac:dyDescent="0.4">
      <c r="A8" s="16" t="s">
        <v>14</v>
      </c>
      <c r="B8" s="12">
        <f>15</f>
        <v>15</v>
      </c>
      <c r="C8" s="1"/>
      <c r="D8" s="1"/>
      <c r="E8" s="1"/>
    </row>
    <row r="9" spans="1:13" x14ac:dyDescent="0.4">
      <c r="A9" s="16" t="s">
        <v>15</v>
      </c>
      <c r="B9" s="12">
        <f>5</f>
        <v>5</v>
      </c>
      <c r="C9" s="1"/>
      <c r="D9" s="1"/>
      <c r="E9" s="1"/>
    </row>
    <row r="10" spans="1:13" ht="21.6" thickBot="1" x14ac:dyDescent="0.45">
      <c r="A10" s="16" t="s">
        <v>16</v>
      </c>
      <c r="B10" s="12">
        <f>50</f>
        <v>50</v>
      </c>
      <c r="C10" s="1"/>
      <c r="D10" s="1"/>
      <c r="E10" s="1"/>
    </row>
    <row r="11" spans="1:13" ht="21.6" thickBot="1" x14ac:dyDescent="0.45">
      <c r="A11" s="17" t="s">
        <v>17</v>
      </c>
      <c r="B11" s="19">
        <f>(B7+B8-B9)/B10</f>
        <v>0.6</v>
      </c>
      <c r="C11" s="1"/>
      <c r="D11" s="1"/>
      <c r="E11" s="1"/>
      <c r="I11" s="5"/>
    </row>
    <row r="12" spans="1:13" x14ac:dyDescent="0.4">
      <c r="A12" s="1"/>
      <c r="B12" s="1"/>
      <c r="C12" s="1"/>
      <c r="D12" s="1"/>
      <c r="E12" s="1"/>
    </row>
    <row r="13" spans="1:13" x14ac:dyDescent="0.4">
      <c r="A13" s="1"/>
      <c r="B13" s="1"/>
      <c r="C13" s="1"/>
      <c r="D13" s="1"/>
      <c r="E13" s="1"/>
    </row>
    <row r="14" spans="1:13" x14ac:dyDescent="0.4">
      <c r="A14" s="1"/>
      <c r="B14" s="1"/>
      <c r="C14" s="1"/>
      <c r="D14" s="1"/>
      <c r="E14" s="1"/>
    </row>
    <row r="15" spans="1:13" x14ac:dyDescent="0.4">
      <c r="A15" s="1"/>
      <c r="B15" s="1"/>
      <c r="C15" s="1"/>
      <c r="D15" s="1"/>
      <c r="E15" s="1"/>
    </row>
    <row r="16" spans="1:13" x14ac:dyDescent="0.4">
      <c r="A16" s="1"/>
      <c r="B16" s="1"/>
      <c r="C16" s="1"/>
      <c r="D16" s="1"/>
      <c r="E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4B82E-D03E-4400-B63E-5FD6D32F3356}">
  <dimension ref="A1:M6"/>
  <sheetViews>
    <sheetView workbookViewId="0">
      <selection activeCell="E12" sqref="E12"/>
    </sheetView>
  </sheetViews>
  <sheetFormatPr defaultRowHeight="21" x14ac:dyDescent="0.4"/>
  <cols>
    <col min="1" max="1" width="21.44140625" style="4" customWidth="1"/>
    <col min="2" max="12" width="8.88671875" style="4"/>
    <col min="13" max="13" width="16.33203125" style="4" customWidth="1"/>
    <col min="14" max="16384" width="8.88671875" style="4"/>
  </cols>
  <sheetData>
    <row r="1" spans="1:13" x14ac:dyDescent="0.4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4">
      <c r="A2" s="8" t="s">
        <v>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21.6" thickBot="1" x14ac:dyDescent="0.45"/>
    <row r="4" spans="1:13" x14ac:dyDescent="0.4">
      <c r="A4" s="15" t="s">
        <v>20</v>
      </c>
      <c r="B4" s="18">
        <f>3-1</f>
        <v>2</v>
      </c>
    </row>
    <row r="5" spans="1:13" ht="21.6" thickBot="1" x14ac:dyDescent="0.45">
      <c r="A5" s="16" t="s">
        <v>21</v>
      </c>
      <c r="B5" s="12">
        <f>5-1</f>
        <v>4</v>
      </c>
    </row>
    <row r="6" spans="1:13" ht="21.6" thickBot="1" x14ac:dyDescent="0.45">
      <c r="A6" s="17" t="s">
        <v>22</v>
      </c>
      <c r="B6" s="19">
        <f>B4/B5</f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1377-07D3-4C95-A524-CCE2F33E82BD}">
  <dimension ref="A1:M7"/>
  <sheetViews>
    <sheetView workbookViewId="0">
      <selection activeCell="D9" sqref="D9"/>
    </sheetView>
  </sheetViews>
  <sheetFormatPr defaultRowHeight="21" x14ac:dyDescent="0.4"/>
  <cols>
    <col min="1" max="1" width="11.33203125" style="4" customWidth="1"/>
    <col min="2" max="2" width="26.5546875" style="4" customWidth="1"/>
    <col min="3" max="3" width="8.88671875" style="4"/>
    <col min="4" max="4" width="17" style="4" customWidth="1"/>
    <col min="5" max="11" width="8.88671875" style="4"/>
    <col min="12" max="12" width="13.21875" style="4" customWidth="1"/>
    <col min="13" max="13" width="12.6640625" style="4" customWidth="1"/>
    <col min="14" max="14" width="8.88671875" style="4"/>
    <col min="15" max="15" width="10.77734375" style="4" customWidth="1"/>
    <col min="16" max="16384" width="8.88671875" style="4"/>
  </cols>
  <sheetData>
    <row r="1" spans="1:13" x14ac:dyDescent="0.4">
      <c r="A1" s="8" t="s">
        <v>23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36"/>
    </row>
    <row r="2" spans="1:13" x14ac:dyDescent="0.4">
      <c r="A2" s="8" t="s">
        <v>24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36"/>
    </row>
    <row r="3" spans="1:13" x14ac:dyDescent="0.4">
      <c r="A3" s="8" t="s">
        <v>25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36"/>
    </row>
    <row r="4" spans="1:13" ht="21.6" thickBot="1" x14ac:dyDescent="0.45"/>
    <row r="5" spans="1:13" ht="21.6" thickBot="1" x14ac:dyDescent="0.45">
      <c r="A5" s="15" t="s">
        <v>27</v>
      </c>
      <c r="B5" s="11">
        <v>0.6</v>
      </c>
      <c r="D5" s="28" t="s">
        <v>32</v>
      </c>
      <c r="E5" s="29" t="s">
        <v>30</v>
      </c>
      <c r="F5" s="30"/>
      <c r="G5" s="30"/>
      <c r="H5" s="30"/>
      <c r="I5" s="30"/>
      <c r="J5" s="30"/>
      <c r="K5" s="31"/>
      <c r="L5" s="35"/>
    </row>
    <row r="6" spans="1:13" ht="21.6" thickBot="1" x14ac:dyDescent="0.45">
      <c r="A6" s="16" t="s">
        <v>28</v>
      </c>
      <c r="B6" s="26">
        <v>0.4</v>
      </c>
      <c r="E6" s="32" t="s">
        <v>31</v>
      </c>
      <c r="F6" s="33"/>
      <c r="G6" s="33"/>
      <c r="H6" s="33"/>
      <c r="I6" s="33"/>
      <c r="J6" s="33"/>
      <c r="K6" s="34"/>
      <c r="L6" s="35"/>
    </row>
    <row r="7" spans="1:13" ht="21.6" thickBot="1" x14ac:dyDescent="0.45">
      <c r="A7" s="17" t="s">
        <v>26</v>
      </c>
      <c r="B7" s="19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E90E8-8066-4CA9-BD3C-75813A3AE3A3}">
  <dimension ref="A1:O6"/>
  <sheetViews>
    <sheetView workbookViewId="0">
      <selection activeCell="F5" sqref="F5"/>
    </sheetView>
  </sheetViews>
  <sheetFormatPr defaultRowHeight="21" x14ac:dyDescent="0.4"/>
  <cols>
    <col min="1" max="1" width="20.33203125" style="4" customWidth="1"/>
    <col min="2" max="2" width="9.33203125" style="4" customWidth="1"/>
    <col min="3" max="3" width="8.88671875" style="4" customWidth="1"/>
    <col min="4" max="8" width="8.88671875" style="4"/>
    <col min="9" max="9" width="10.21875" style="4" customWidth="1"/>
    <col min="10" max="12" width="8.88671875" style="4"/>
    <col min="13" max="13" width="14.88671875" style="4" customWidth="1"/>
    <col min="14" max="16384" width="8.88671875" style="4"/>
  </cols>
  <sheetData>
    <row r="1" spans="1:15" x14ac:dyDescent="0.4">
      <c r="A1" s="8" t="s">
        <v>33</v>
      </c>
      <c r="B1" s="8"/>
      <c r="C1" s="8"/>
      <c r="D1" s="8"/>
      <c r="E1" s="8"/>
      <c r="F1" s="8"/>
      <c r="G1" s="8"/>
      <c r="H1" s="8"/>
      <c r="I1" s="8"/>
      <c r="J1" s="8"/>
      <c r="K1" s="6"/>
      <c r="L1" s="6"/>
      <c r="M1" s="6"/>
      <c r="N1" s="37"/>
      <c r="O1" s="37"/>
    </row>
    <row r="2" spans="1:15" x14ac:dyDescent="0.4">
      <c r="A2" s="8" t="s">
        <v>34</v>
      </c>
      <c r="B2" s="8"/>
      <c r="C2" s="8"/>
      <c r="D2" s="8"/>
      <c r="E2" s="8"/>
      <c r="F2" s="8"/>
      <c r="G2" s="8"/>
      <c r="H2" s="8"/>
      <c r="I2" s="8"/>
      <c r="J2" s="8"/>
      <c r="K2" s="6"/>
      <c r="L2" s="6"/>
      <c r="M2" s="6"/>
      <c r="N2" s="37"/>
      <c r="O2" s="37"/>
    </row>
    <row r="3" spans="1:15" ht="21.6" thickBot="1" x14ac:dyDescent="0.45"/>
    <row r="4" spans="1:15" x14ac:dyDescent="0.4">
      <c r="A4" s="23" t="s">
        <v>36</v>
      </c>
      <c r="B4" s="18">
        <v>160</v>
      </c>
    </row>
    <row r="5" spans="1:15" ht="21.6" thickBot="1" x14ac:dyDescent="0.45">
      <c r="A5" s="24" t="s">
        <v>35</v>
      </c>
      <c r="B5" s="12">
        <v>158</v>
      </c>
    </row>
    <row r="6" spans="1:15" ht="21.6" thickBot="1" x14ac:dyDescent="0.45">
      <c r="A6" s="25" t="s">
        <v>37</v>
      </c>
      <c r="B6" s="19">
        <f>B5-B4</f>
        <v>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64A23-6C95-440A-99B8-7A10199AF183}">
  <dimension ref="A1:P6"/>
  <sheetViews>
    <sheetView workbookViewId="0">
      <selection activeCell="E8" sqref="E8"/>
    </sheetView>
  </sheetViews>
  <sheetFormatPr defaultRowHeight="21" x14ac:dyDescent="0.4"/>
  <cols>
    <col min="1" max="1" width="20.77734375" style="4" customWidth="1"/>
    <col min="2" max="13" width="8.88671875" style="4"/>
    <col min="14" max="14" width="13" style="4" customWidth="1"/>
    <col min="15" max="16384" width="8.88671875" style="4"/>
  </cols>
  <sheetData>
    <row r="1" spans="1:16" x14ac:dyDescent="0.4">
      <c r="A1" s="8" t="s">
        <v>38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36"/>
      <c r="P1" s="36"/>
    </row>
    <row r="2" spans="1:16" x14ac:dyDescent="0.4">
      <c r="A2" s="8" t="s">
        <v>39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36"/>
      <c r="P2" s="36"/>
    </row>
    <row r="3" spans="1:16" ht="21.6" thickBot="1" x14ac:dyDescent="0.45"/>
    <row r="4" spans="1:16" x14ac:dyDescent="0.4">
      <c r="A4" s="23" t="s">
        <v>40</v>
      </c>
      <c r="B4" s="20">
        <v>5000</v>
      </c>
    </row>
    <row r="5" spans="1:16" ht="21.6" thickBot="1" x14ac:dyDescent="0.45">
      <c r="A5" s="24" t="s">
        <v>41</v>
      </c>
      <c r="B5" s="21">
        <v>100</v>
      </c>
    </row>
    <row r="6" spans="1:16" ht="21.6" thickBot="1" x14ac:dyDescent="0.45">
      <c r="A6" s="25" t="s">
        <v>42</v>
      </c>
      <c r="B6" s="22">
        <f>B4/SQRT(B5)</f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14F2A-F83F-4BB2-96E2-052692128153}">
  <dimension ref="A1:H11"/>
  <sheetViews>
    <sheetView workbookViewId="0">
      <selection activeCell="H12" sqref="H12"/>
    </sheetView>
  </sheetViews>
  <sheetFormatPr defaultRowHeight="21" x14ac:dyDescent="0.4"/>
  <cols>
    <col min="1" max="1" width="13.21875" style="4" customWidth="1"/>
    <col min="2" max="6" width="8.88671875" style="4"/>
    <col min="7" max="7" width="15.33203125" style="4" customWidth="1"/>
    <col min="8" max="8" width="11.6640625" style="4" customWidth="1"/>
    <col min="9" max="16384" width="8.88671875" style="4"/>
  </cols>
  <sheetData>
    <row r="1" spans="1:8" x14ac:dyDescent="0.4">
      <c r="A1" s="8" t="s">
        <v>43</v>
      </c>
      <c r="B1" s="8"/>
      <c r="C1" s="8"/>
      <c r="D1" s="8"/>
      <c r="E1" s="8"/>
      <c r="F1" s="8"/>
      <c r="G1" s="8"/>
      <c r="H1" s="36"/>
    </row>
    <row r="2" spans="1:8" x14ac:dyDescent="0.4">
      <c r="A2" s="8" t="s">
        <v>44</v>
      </c>
      <c r="B2" s="8"/>
      <c r="C2" s="8"/>
      <c r="D2" s="8"/>
      <c r="E2" s="8"/>
      <c r="F2" s="8"/>
      <c r="G2" s="8"/>
      <c r="H2" s="36"/>
    </row>
    <row r="3" spans="1:8" x14ac:dyDescent="0.4">
      <c r="A3" s="8" t="s">
        <v>45</v>
      </c>
      <c r="B3" s="8"/>
      <c r="C3" s="8"/>
      <c r="D3" s="8"/>
      <c r="E3" s="8"/>
      <c r="F3" s="8"/>
      <c r="G3" s="8"/>
      <c r="H3" s="36"/>
    </row>
    <row r="4" spans="1:8" x14ac:dyDescent="0.4">
      <c r="A4" s="8" t="s">
        <v>46</v>
      </c>
      <c r="B4" s="8"/>
      <c r="C4" s="8"/>
      <c r="D4" s="8"/>
      <c r="E4" s="8"/>
      <c r="F4" s="8"/>
      <c r="G4" s="8"/>
      <c r="H4" s="36"/>
    </row>
    <row r="5" spans="1:8" x14ac:dyDescent="0.4">
      <c r="A5" s="8" t="s">
        <v>47</v>
      </c>
      <c r="B5" s="8"/>
      <c r="C5" s="8"/>
      <c r="D5" s="8"/>
      <c r="E5" s="8"/>
      <c r="F5" s="8"/>
      <c r="G5" s="8"/>
      <c r="H5" s="36"/>
    </row>
    <row r="6" spans="1:8" ht="21.6" thickBot="1" x14ac:dyDescent="0.45"/>
    <row r="7" spans="1:8" x14ac:dyDescent="0.4">
      <c r="A7" s="15" t="s">
        <v>54</v>
      </c>
      <c r="B7" s="18">
        <v>40</v>
      </c>
    </row>
    <row r="8" spans="1:8" x14ac:dyDescent="0.4">
      <c r="A8" s="16" t="s">
        <v>55</v>
      </c>
      <c r="B8" s="12">
        <v>30</v>
      </c>
    </row>
    <row r="9" spans="1:8" x14ac:dyDescent="0.4">
      <c r="A9" s="16" t="s">
        <v>56</v>
      </c>
      <c r="B9" s="12">
        <v>10</v>
      </c>
    </row>
    <row r="10" spans="1:8" ht="21.6" thickBot="1" x14ac:dyDescent="0.45">
      <c r="A10" s="16" t="s">
        <v>57</v>
      </c>
      <c r="B10" s="12">
        <v>100</v>
      </c>
    </row>
    <row r="11" spans="1:8" ht="21.6" thickBot="1" x14ac:dyDescent="0.45">
      <c r="A11" s="17" t="s">
        <v>58</v>
      </c>
      <c r="B11" s="19">
        <f>(B7+B8-B9)/B10</f>
        <v>0.6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6F9FD-9303-4E92-BE0C-9E5E1023485C}">
  <dimension ref="A1:L7"/>
  <sheetViews>
    <sheetView workbookViewId="0">
      <selection activeCell="D8" sqref="D8"/>
    </sheetView>
  </sheetViews>
  <sheetFormatPr defaultRowHeight="21" x14ac:dyDescent="0.4"/>
  <cols>
    <col min="1" max="1" width="16.5546875" style="4" customWidth="1"/>
    <col min="2" max="7" width="8.88671875" style="4"/>
    <col min="8" max="8" width="84.44140625" style="4" customWidth="1"/>
    <col min="9" max="16384" width="8.88671875" style="4"/>
  </cols>
  <sheetData>
    <row r="1" spans="1:12" x14ac:dyDescent="0.4">
      <c r="A1" s="8" t="s">
        <v>53</v>
      </c>
      <c r="B1" s="8"/>
      <c r="C1" s="8"/>
      <c r="D1" s="8"/>
      <c r="E1" s="8"/>
      <c r="F1" s="8"/>
      <c r="G1" s="8"/>
      <c r="H1" s="8"/>
      <c r="I1" s="10"/>
      <c r="J1" s="10"/>
      <c r="K1" s="10"/>
      <c r="L1" s="10"/>
    </row>
    <row r="2" spans="1:12" ht="21.6" thickBot="1" x14ac:dyDescent="0.45">
      <c r="A2"/>
      <c r="I2" s="10"/>
      <c r="J2" s="10"/>
      <c r="K2" s="10"/>
      <c r="L2" s="10"/>
    </row>
    <row r="3" spans="1:12" x14ac:dyDescent="0.4">
      <c r="A3" s="15" t="s">
        <v>48</v>
      </c>
      <c r="B3" s="18">
        <v>52</v>
      </c>
      <c r="I3" s="10"/>
      <c r="J3" s="10"/>
      <c r="K3" s="10"/>
      <c r="L3" s="10"/>
    </row>
    <row r="4" spans="1:12" ht="21.6" thickBot="1" x14ac:dyDescent="0.45">
      <c r="A4" s="16" t="s">
        <v>49</v>
      </c>
      <c r="B4" s="12">
        <v>4</v>
      </c>
      <c r="I4" s="10"/>
      <c r="J4" s="10"/>
      <c r="K4" s="10"/>
      <c r="L4" s="10"/>
    </row>
    <row r="5" spans="1:12" ht="21.6" thickBot="1" x14ac:dyDescent="0.45">
      <c r="A5" s="16" t="s">
        <v>50</v>
      </c>
      <c r="B5" s="19">
        <f>B4/B3</f>
        <v>7.6923076923076927E-2</v>
      </c>
      <c r="I5" s="10"/>
      <c r="J5" s="10"/>
      <c r="K5" s="10"/>
      <c r="L5" s="10"/>
    </row>
    <row r="6" spans="1:12" ht="21.6" thickBot="1" x14ac:dyDescent="0.45">
      <c r="A6" s="16" t="s">
        <v>51</v>
      </c>
      <c r="B6" s="19">
        <f>3/51</f>
        <v>5.8823529411764705E-2</v>
      </c>
    </row>
    <row r="7" spans="1:12" ht="21.6" thickBot="1" x14ac:dyDescent="0.45">
      <c r="A7" s="17" t="s">
        <v>52</v>
      </c>
      <c r="B7" s="19">
        <f>B5*B6</f>
        <v>4.5248868778280547E-3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6E1E9-5B6A-4014-97DC-70B88A523E92}">
  <dimension ref="A1:T6"/>
  <sheetViews>
    <sheetView workbookViewId="0">
      <selection activeCell="H7" sqref="H7"/>
    </sheetView>
  </sheetViews>
  <sheetFormatPr defaultRowHeight="21" x14ac:dyDescent="0.4"/>
  <cols>
    <col min="1" max="1" width="23.109375" style="4" customWidth="1"/>
    <col min="2" max="2" width="16.44140625" style="4" bestFit="1" customWidth="1"/>
    <col min="3" max="16" width="8.88671875" style="4"/>
    <col min="17" max="17" width="16" style="4" customWidth="1"/>
    <col min="18" max="19" width="8.88671875" style="4"/>
    <col min="20" max="20" width="10" style="4" customWidth="1"/>
    <col min="21" max="16384" width="8.88671875" style="4"/>
  </cols>
  <sheetData>
    <row r="1" spans="1:20" x14ac:dyDescent="0.4">
      <c r="A1" s="8" t="s">
        <v>59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36"/>
      <c r="S1" s="36"/>
      <c r="T1" s="36"/>
    </row>
    <row r="2" spans="1:20" ht="21.6" thickBot="1" x14ac:dyDescent="0.45"/>
    <row r="3" spans="1:20" ht="21.6" thickBot="1" x14ac:dyDescent="0.45">
      <c r="A3" s="15" t="s">
        <v>61</v>
      </c>
      <c r="B3" s="11">
        <v>0.02</v>
      </c>
    </row>
    <row r="4" spans="1:20" ht="21.6" thickBot="1" x14ac:dyDescent="0.45">
      <c r="A4" s="16" t="s">
        <v>60</v>
      </c>
      <c r="B4" s="13">
        <f>1-B3</f>
        <v>0.98</v>
      </c>
    </row>
    <row r="5" spans="1:20" ht="21.6" thickBot="1" x14ac:dyDescent="0.45">
      <c r="A5" s="16" t="s">
        <v>62</v>
      </c>
      <c r="B5" s="12">
        <v>5</v>
      </c>
    </row>
    <row r="6" spans="1:20" ht="21.6" thickBot="1" x14ac:dyDescent="0.45">
      <c r="A6" s="17" t="s">
        <v>63</v>
      </c>
      <c r="B6" s="14">
        <f>B4^B5</f>
        <v>0.90392079679999982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63C6B-89E3-44C0-BFA2-09F60DFED0EA}">
  <dimension ref="A1:C24"/>
  <sheetViews>
    <sheetView tabSelected="1" workbookViewId="0">
      <selection activeCell="C16" sqref="C16"/>
    </sheetView>
  </sheetViews>
  <sheetFormatPr defaultRowHeight="21" x14ac:dyDescent="0.4"/>
  <cols>
    <col min="1" max="1" width="24.44140625" style="4" customWidth="1"/>
    <col min="2" max="2" width="53.109375" style="4" customWidth="1"/>
    <col min="3" max="3" width="68.33203125" style="4" customWidth="1"/>
    <col min="4" max="16384" width="8.88671875" style="4"/>
  </cols>
  <sheetData>
    <row r="1" spans="1:3" x14ac:dyDescent="0.4">
      <c r="A1" s="8" t="s">
        <v>64</v>
      </c>
      <c r="B1" s="8"/>
      <c r="C1" s="8"/>
    </row>
    <row r="2" spans="1:3" ht="21.6" thickBot="1" x14ac:dyDescent="0.45"/>
    <row r="3" spans="1:3" ht="21.6" thickBot="1" x14ac:dyDescent="0.45">
      <c r="A3" s="41" t="s">
        <v>65</v>
      </c>
      <c r="B3" s="39" t="s">
        <v>66</v>
      </c>
      <c r="C3" s="39" t="s">
        <v>67</v>
      </c>
    </row>
    <row r="4" spans="1:3" ht="21.6" thickBot="1" x14ac:dyDescent="0.45">
      <c r="A4" s="40" t="s">
        <v>79</v>
      </c>
      <c r="B4" s="43" t="s">
        <v>68</v>
      </c>
      <c r="C4" s="43" t="s">
        <v>69</v>
      </c>
    </row>
    <row r="5" spans="1:3" ht="21.6" thickBot="1" x14ac:dyDescent="0.45">
      <c r="A5" s="40" t="s">
        <v>70</v>
      </c>
      <c r="B5" s="42" t="s">
        <v>80</v>
      </c>
      <c r="C5" s="42" t="s">
        <v>81</v>
      </c>
    </row>
    <row r="6" spans="1:3" ht="21.6" thickBot="1" x14ac:dyDescent="0.45">
      <c r="A6" s="40" t="s">
        <v>71</v>
      </c>
      <c r="B6" s="42" t="s">
        <v>82</v>
      </c>
      <c r="C6" s="42" t="s">
        <v>83</v>
      </c>
    </row>
    <row r="7" spans="1:3" ht="21.6" thickBot="1" x14ac:dyDescent="0.45">
      <c r="A7" s="40" t="s">
        <v>72</v>
      </c>
      <c r="B7" s="42" t="s">
        <v>84</v>
      </c>
      <c r="C7" s="42" t="s">
        <v>85</v>
      </c>
    </row>
    <row r="8" spans="1:3" ht="21.6" thickBot="1" x14ac:dyDescent="0.45">
      <c r="A8" s="40" t="s">
        <v>73</v>
      </c>
      <c r="B8" s="42" t="s">
        <v>86</v>
      </c>
      <c r="C8" s="42" t="s">
        <v>87</v>
      </c>
    </row>
    <row r="9" spans="1:3" ht="21.6" thickBot="1" x14ac:dyDescent="0.45">
      <c r="A9" s="40" t="s">
        <v>74</v>
      </c>
      <c r="B9" s="42" t="s">
        <v>88</v>
      </c>
      <c r="C9" s="42" t="s">
        <v>89</v>
      </c>
    </row>
    <row r="10" spans="1:3" ht="21.6" thickBot="1" x14ac:dyDescent="0.45">
      <c r="A10" s="40" t="s">
        <v>75</v>
      </c>
      <c r="B10" s="42" t="s">
        <v>90</v>
      </c>
      <c r="C10" s="42" t="s">
        <v>91</v>
      </c>
    </row>
    <row r="11" spans="1:3" ht="21.6" thickBot="1" x14ac:dyDescent="0.45">
      <c r="A11" s="40" t="s">
        <v>76</v>
      </c>
      <c r="B11" s="42" t="s">
        <v>92</v>
      </c>
      <c r="C11" s="42" t="s">
        <v>93</v>
      </c>
    </row>
    <row r="12" spans="1:3" ht="21.6" thickBot="1" x14ac:dyDescent="0.45">
      <c r="A12" s="40" t="s">
        <v>77</v>
      </c>
      <c r="B12" s="42" t="s">
        <v>94</v>
      </c>
      <c r="C12" s="42" t="s">
        <v>95</v>
      </c>
    </row>
    <row r="13" spans="1:3" ht="21.6" thickBot="1" x14ac:dyDescent="0.45">
      <c r="A13" s="40" t="s">
        <v>78</v>
      </c>
      <c r="B13" s="38" t="s">
        <v>96</v>
      </c>
      <c r="C13" s="38" t="s">
        <v>97</v>
      </c>
    </row>
    <row r="14" spans="1:3" x14ac:dyDescent="0.4">
      <c r="A14" s="1"/>
      <c r="B14" s="1"/>
      <c r="C14" s="1"/>
    </row>
    <row r="15" spans="1:3" x14ac:dyDescent="0.4">
      <c r="A15" s="1"/>
      <c r="B15" s="1"/>
      <c r="C15" s="1"/>
    </row>
    <row r="16" spans="1:3" x14ac:dyDescent="0.4">
      <c r="A16" s="1"/>
      <c r="B16" s="1"/>
      <c r="C16" s="1"/>
    </row>
    <row r="17" spans="1:3" x14ac:dyDescent="0.4">
      <c r="A17" s="1"/>
      <c r="B17" s="1"/>
      <c r="C17" s="1"/>
    </row>
    <row r="18" spans="1:3" x14ac:dyDescent="0.4">
      <c r="A18" s="1"/>
      <c r="B18" s="1"/>
      <c r="C18" s="1"/>
    </row>
    <row r="19" spans="1:3" x14ac:dyDescent="0.4">
      <c r="A19" s="1"/>
      <c r="B19" s="1"/>
      <c r="C19" s="1"/>
    </row>
    <row r="20" spans="1:3" x14ac:dyDescent="0.4">
      <c r="A20" s="1"/>
      <c r="B20" s="1"/>
      <c r="C20" s="1"/>
    </row>
    <row r="21" spans="1:3" x14ac:dyDescent="0.4">
      <c r="A21" s="1"/>
      <c r="B21" s="1"/>
      <c r="C21" s="1"/>
    </row>
    <row r="22" spans="1:3" x14ac:dyDescent="0.4">
      <c r="A22" s="1"/>
      <c r="B22" s="1"/>
      <c r="C22" s="1"/>
    </row>
    <row r="23" spans="1:3" x14ac:dyDescent="0.4">
      <c r="A23" s="1"/>
      <c r="B23" s="1"/>
      <c r="C23" s="1"/>
    </row>
    <row r="24" spans="1:3" x14ac:dyDescent="0.4">
      <c r="A24" s="1"/>
      <c r="B24" s="1"/>
      <c r="C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Q.1)</vt:lpstr>
      <vt:lpstr>Q.2)</vt:lpstr>
      <vt:lpstr>Q.3)</vt:lpstr>
      <vt:lpstr>Q.4)</vt:lpstr>
      <vt:lpstr>Q.5)</vt:lpstr>
      <vt:lpstr>Q.6)</vt:lpstr>
      <vt:lpstr>Q.7)</vt:lpstr>
      <vt:lpstr>Q.8)</vt:lpstr>
      <vt:lpstr>Q.9)</vt:lpstr>
      <vt:lpstr>Q.10)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GHOSH</dc:creator>
  <cp:lastModifiedBy>SHREYA GHOSH</cp:lastModifiedBy>
  <dcterms:created xsi:type="dcterms:W3CDTF">2026-01-22T04:21:29Z</dcterms:created>
  <dcterms:modified xsi:type="dcterms:W3CDTF">2026-01-28T12:32:03Z</dcterms:modified>
</cp:coreProperties>
</file>